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00_Sync\YSBS2\SynologyDrive\이유미교수님\"/>
    </mc:Choice>
  </mc:AlternateContent>
  <xr:revisionPtr revIDLastSave="0" documentId="13_ncr:1_{E3A2D347-B714-44A4-A40B-2C229E3203CE}" xr6:coauthVersionLast="47" xr6:coauthVersionMax="47" xr10:uidLastSave="{00000000-0000-0000-0000-000000000000}"/>
  <bookViews>
    <workbookView xWindow="-108" yWindow="-108" windowWidth="23256" windowHeight="12576" activeTab="8" xr2:uid="{5120A716-8440-45A5-90E0-BB74F37FBCB7}"/>
  </bookViews>
  <sheets>
    <sheet name="395Papers" sheetId="18" r:id="rId1"/>
    <sheet name="41Papers" sheetId="16" r:id="rId2"/>
    <sheet name="Framework_elements" sheetId="5" r:id="rId3"/>
    <sheet name="Meta" sheetId="22" r:id="rId4"/>
    <sheet name="ABCE_CRI_KW" sheetId="1" r:id="rId5"/>
    <sheet name="ABCE_Result" sheetId="2" r:id="rId6"/>
    <sheet name="UNESCO_CRI_KW" sheetId="3" r:id="rId7"/>
    <sheet name="UNESCO_Result" sheetId="4" r:id="rId8"/>
    <sheet name="ABCE-UNESCO" sheetId="21" r:id="rId9"/>
  </sheets>
  <definedNames>
    <definedName name="_xlnm._FilterDatabase" localSheetId="0" hidden="1">'395Papers'!$A$1:$M$396</definedName>
    <definedName name="_xlnm._FilterDatabase" localSheetId="4" hidden="1">ABCE_CRI_KW!$A$1:$B$117</definedName>
    <definedName name="_xlnm._FilterDatabase" localSheetId="5" hidden="1">ABCE_Result!$A$1:$H$273</definedName>
    <definedName name="_xlnm._FilterDatabase" localSheetId="8" hidden="1">'ABCE-UNESCO'!$A$1:$C$273</definedName>
    <definedName name="_xlnm._FilterDatabase" localSheetId="2" hidden="1">Framework_elements!$A$1:$B$273</definedName>
    <definedName name="_xlnm._FilterDatabase" localSheetId="7" hidden="1">UNESCO_Result!$A$1:$H$273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7" i="22" l="1"/>
  <c r="O7" i="22"/>
  <c r="N7" i="22"/>
  <c r="M7" i="22"/>
  <c r="Q6" i="22"/>
  <c r="Q5" i="22"/>
  <c r="Q4" i="22"/>
  <c r="Q3" i="22"/>
  <c r="J8" i="22"/>
  <c r="H7" i="22"/>
  <c r="I7" i="22" s="1"/>
  <c r="H6" i="22"/>
  <c r="I6" i="22" s="1"/>
  <c r="H5" i="22"/>
  <c r="I5" i="22" s="1"/>
  <c r="H4" i="22"/>
  <c r="I4" i="22" s="1"/>
  <c r="H3" i="22"/>
  <c r="I3" i="22" s="1"/>
  <c r="D8" i="22"/>
  <c r="E8" i="22"/>
  <c r="C7" i="22"/>
  <c r="C6" i="22"/>
  <c r="C5" i="22"/>
  <c r="C4" i="22"/>
  <c r="C3" i="22"/>
  <c r="C8" i="22" s="1"/>
  <c r="Q7" i="22" l="1"/>
  <c r="I8" i="22"/>
  <c r="H8" i="22"/>
  <c r="D3" i="16"/>
  <c r="D4" i="16"/>
  <c r="D5" i="16"/>
  <c r="D6" i="16"/>
  <c r="D7" i="16"/>
  <c r="D8"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2" i="16"/>
</calcChain>
</file>

<file path=xl/sharedStrings.xml><?xml version="1.0" encoding="utf-8"?>
<sst xmlns="http://schemas.openxmlformats.org/spreadsheetml/2006/main" count="5477" uniqueCount="1634">
  <si>
    <t>Dimension</t>
  </si>
  <si>
    <t>Keyword</t>
  </si>
  <si>
    <t>Affective</t>
    <phoneticPr fontId="3" type="noConversion"/>
  </si>
  <si>
    <t>affective</t>
    <phoneticPr fontId="3" type="noConversion"/>
  </si>
  <si>
    <t>confident and self-efficacious users who have interests and motivation to learn ai</t>
  </si>
  <si>
    <t>Affective</t>
  </si>
  <si>
    <t>confident users</t>
  </si>
  <si>
    <t>interests</t>
  </si>
  <si>
    <t>learn ai</t>
  </si>
  <si>
    <t>motivation</t>
  </si>
  <si>
    <t>self-efficacious users</t>
  </si>
  <si>
    <t>attention</t>
  </si>
  <si>
    <t>confidence</t>
  </si>
  <si>
    <t>digital information literacy</t>
  </si>
  <si>
    <t>enjoyment</t>
  </si>
  <si>
    <t>perceived usefulness</t>
  </si>
  <si>
    <t>satisfaction</t>
  </si>
  <si>
    <t>attitudes</t>
  </si>
  <si>
    <t>emotional and physiological change</t>
  </si>
  <si>
    <t>emotional change</t>
  </si>
  <si>
    <t>interests, confidence, motivation, attitudes and self-efficacy</t>
  </si>
  <si>
    <t>physiological change</t>
  </si>
  <si>
    <t>self-efficacy</t>
  </si>
  <si>
    <t>Behavioural</t>
  </si>
  <si>
    <t>behavioural</t>
    <phoneticPr fontId="3" type="noConversion"/>
  </si>
  <si>
    <t>active and productive users who can collaborate with others and engage themselves in ai environments</t>
  </si>
  <si>
    <t>active users</t>
  </si>
  <si>
    <t>ai environments</t>
  </si>
  <si>
    <t>collaborate</t>
  </si>
  <si>
    <t>engage themselves</t>
  </si>
  <si>
    <t>productive users</t>
  </si>
  <si>
    <t>cognitive behaviours</t>
  </si>
  <si>
    <t>cognitive behaviours and network agency</t>
  </si>
  <si>
    <t>learning behaviours</t>
  </si>
  <si>
    <t>network agency</t>
  </si>
  <si>
    <t>positive behaviours</t>
  </si>
  <si>
    <t>students' positive learning behaviours</t>
  </si>
  <si>
    <t>active learning</t>
  </si>
  <si>
    <t>behavioural intention</t>
  </si>
  <si>
    <t>collaboration and engagement</t>
  </si>
  <si>
    <t>course completion</t>
  </si>
  <si>
    <t>external behaviours</t>
  </si>
  <si>
    <t>operational performance</t>
  </si>
  <si>
    <t>students' actions</t>
  </si>
  <si>
    <t>students' actions, operational performance and external behaviours that demonstrate active learning, course completion, behavioural intention, collaboration and engagement</t>
  </si>
  <si>
    <t>Cognitive</t>
    <phoneticPr fontId="3" type="noConversion"/>
  </si>
  <si>
    <t>cognitive</t>
    <phoneticPr fontId="3" type="noConversion"/>
  </si>
  <si>
    <t>ai appliations</t>
  </si>
  <si>
    <t>ai-driven solutions</t>
  </si>
  <si>
    <t>apply ai</t>
  </si>
  <si>
    <t>apply ai application to solve problems</t>
  </si>
  <si>
    <t>apply, evaluate and create ai</t>
  </si>
  <si>
    <t>chatbot</t>
  </si>
  <si>
    <t>concepts</t>
  </si>
  <si>
    <t>create</t>
  </si>
  <si>
    <t>create ai</t>
  </si>
  <si>
    <t>create ai-driven solutions (e.g., chatbots, robotics) to solve problems</t>
  </si>
  <si>
    <t>deep learning</t>
  </si>
  <si>
    <t>evaluate</t>
  </si>
  <si>
    <t>evaluate ai</t>
  </si>
  <si>
    <t>evaluate ai appliations and concepts for different situations</t>
  </si>
  <si>
    <t>how ai perceives the world</t>
  </si>
  <si>
    <t>know</t>
  </si>
  <si>
    <t>know how to use ai (e.g., siri, chatbot)</t>
  </si>
  <si>
    <t>know the working principles behind</t>
  </si>
  <si>
    <t>know what ai is and its related terms (e.g., machine learning, deep learning, nlp)</t>
  </si>
  <si>
    <t>machine learning</t>
  </si>
  <si>
    <t>natural language processing</t>
  </si>
  <si>
    <t>nlp</t>
  </si>
  <si>
    <t>siri</t>
  </si>
  <si>
    <t>societal impacts</t>
  </si>
  <si>
    <t>to solve problems</t>
  </si>
  <si>
    <t>use ai</t>
  </si>
  <si>
    <t>working principles</t>
  </si>
  <si>
    <t>bloom</t>
  </si>
  <si>
    <t>bloom's taxonomy</t>
  </si>
  <si>
    <t>lower- to higher-order thinking skills in bloom's taxonomy</t>
  </si>
  <si>
    <t>taxonomy</t>
  </si>
  <si>
    <t>thinking skills</t>
  </si>
  <si>
    <t>breadth</t>
  </si>
  <si>
    <t>communication</t>
  </si>
  <si>
    <t>depth of knowledge</t>
  </si>
  <si>
    <t>devices security</t>
  </si>
  <si>
    <t>growth</t>
  </si>
  <si>
    <t>information analysing</t>
  </si>
  <si>
    <t>information seeking</t>
  </si>
  <si>
    <t>knowledge acquisitions</t>
  </si>
  <si>
    <t>personal security</t>
  </si>
  <si>
    <t>skill acquisitions</t>
  </si>
  <si>
    <t>students' growth, breadth and depth of knowledge</t>
  </si>
  <si>
    <t>students' knowledge and skill acquisitions such as technological skills, personal security, devices security, communication, information analysing and seeking</t>
  </si>
  <si>
    <t>technological skills</t>
  </si>
  <si>
    <t>Ethical</t>
    <phoneticPr fontId="3" type="noConversion"/>
  </si>
  <si>
    <t>ethical</t>
    <phoneticPr fontId="3" type="noConversion"/>
  </si>
  <si>
    <t>critical thinkers</t>
  </si>
  <si>
    <t>responsible users</t>
  </si>
  <si>
    <t>responsible users and critical thinkers</t>
  </si>
  <si>
    <t>development use of technology</t>
  </si>
  <si>
    <t>moral principles</t>
  </si>
  <si>
    <t>moral principles and techniques intended to inform the development and responsible use of technology</t>
  </si>
  <si>
    <t>responsible use of technology</t>
  </si>
  <si>
    <t>techniques</t>
  </si>
  <si>
    <t>use of technology</t>
  </si>
  <si>
    <t>cyber-bullying</t>
  </si>
  <si>
    <t>digital awareness</t>
  </si>
  <si>
    <t>digital responsibility</t>
  </si>
  <si>
    <t>ethical use of technology</t>
  </si>
  <si>
    <t>respect</t>
  </si>
  <si>
    <t>responsibilities</t>
  </si>
  <si>
    <t>responsibilities, digital awareness, ethical use of technology, respect, cyber-bullying and digital responsibility</t>
  </si>
  <si>
    <t>digital rights</t>
  </si>
  <si>
    <t>security</t>
  </si>
  <si>
    <t>security, social responsibility, digital rights</t>
  </si>
  <si>
    <t>social responsibility</t>
  </si>
  <si>
    <t>privacy</t>
  </si>
  <si>
    <t>privacy, relationships, reputation</t>
  </si>
  <si>
    <t>relationships</t>
  </si>
  <si>
    <t>reputation</t>
  </si>
  <si>
    <t>BestCategory_max</t>
  </si>
  <si>
    <t>BestSim_max</t>
  </si>
  <si>
    <t>Sim_max_Affective</t>
  </si>
  <si>
    <t>Sim_max_Behavioural</t>
  </si>
  <si>
    <t>Sim_max_Cognitive</t>
  </si>
  <si>
    <t>Sim_max_Ethical</t>
  </si>
  <si>
    <t>autonomy</t>
  </si>
  <si>
    <t>Ethical</t>
  </si>
  <si>
    <t>probability</t>
  </si>
  <si>
    <t>learning to recognize artifacts using ai</t>
  </si>
  <si>
    <t>Cognitive</t>
  </si>
  <si>
    <t>learning about how ai works</t>
  </si>
  <si>
    <t>learning tools for ai</t>
  </si>
  <si>
    <t>learning for life with ai</t>
  </si>
  <si>
    <t>data and algorithm literacy</t>
  </si>
  <si>
    <t>affective competences</t>
  </si>
  <si>
    <t>selfreflection</t>
  </si>
  <si>
    <t>affective</t>
  </si>
  <si>
    <t>project goals layer</t>
  </si>
  <si>
    <t>generic ai literacy</t>
  </si>
  <si>
    <t>domainspecific ai literacy</t>
  </si>
  <si>
    <t>attitudesvalues</t>
  </si>
  <si>
    <t>learninggenerative ai</t>
  </si>
  <si>
    <t>data literacy</t>
  </si>
  <si>
    <t>action reaction</t>
  </si>
  <si>
    <t>appraise</t>
  </si>
  <si>
    <t>intrinsic motivation</t>
  </si>
  <si>
    <t>selfefficacy</t>
  </si>
  <si>
    <t>affective engagement</t>
  </si>
  <si>
    <t>visualization</t>
  </si>
  <si>
    <t>expansion of ai literacy framework</t>
  </si>
  <si>
    <t>domain</t>
  </si>
  <si>
    <t>learners and their interaction with ai</t>
  </si>
  <si>
    <t>contextualization of ai literacy</t>
  </si>
  <si>
    <t>concerns</t>
  </si>
  <si>
    <t>curiosity</t>
  </si>
  <si>
    <t>creativity</t>
  </si>
  <si>
    <t>ai selfawareness</t>
  </si>
  <si>
    <t>selfmanagement with ai</t>
  </si>
  <si>
    <t>ai contextual understanding ability</t>
  </si>
  <si>
    <t>ai exploratory learning and problemsolving ability</t>
  </si>
  <si>
    <t>user efficacy</t>
  </si>
  <si>
    <t>ai knowledge</t>
  </si>
  <si>
    <t>ai attitudes</t>
  </si>
  <si>
    <t>content</t>
  </si>
  <si>
    <t>collaboration</t>
  </si>
  <si>
    <t>training</t>
  </si>
  <si>
    <t>communication and collaboration</t>
  </si>
  <si>
    <t>behavioural</t>
  </si>
  <si>
    <t>learning</t>
  </si>
  <si>
    <t>teaching</t>
  </si>
  <si>
    <t>learningteaching</t>
  </si>
  <si>
    <t>interdisciplinarity</t>
  </si>
  <si>
    <t>programmability</t>
  </si>
  <si>
    <t>situational mapping</t>
  </si>
  <si>
    <t>participate</t>
  </si>
  <si>
    <t>affective learning</t>
  </si>
  <si>
    <t>behavioural learning</t>
  </si>
  <si>
    <t>behavioral intention</t>
  </si>
  <si>
    <t>behavioral engagement</t>
  </si>
  <si>
    <t>behavioral learning</t>
  </si>
  <si>
    <t>inner workings</t>
  </si>
  <si>
    <t>instructors</t>
  </si>
  <si>
    <t>internal support</t>
  </si>
  <si>
    <t>learning outcomes</t>
  </si>
  <si>
    <t>learning activities</t>
  </si>
  <si>
    <t>interact and engage with</t>
  </si>
  <si>
    <t>environment physical</t>
  </si>
  <si>
    <t>people individual context</t>
  </si>
  <si>
    <t>action and reaction</t>
  </si>
  <si>
    <t>content ai interaction</t>
  </si>
  <si>
    <t>knowledge</t>
  </si>
  <si>
    <t>evaluation</t>
  </si>
  <si>
    <t>recognize</t>
  </si>
  <si>
    <t>know understand</t>
  </si>
  <si>
    <t>use apply</t>
  </si>
  <si>
    <t>introduction to ai</t>
  </si>
  <si>
    <t>ai and the future of work</t>
  </si>
  <si>
    <t>ai careers</t>
  </si>
  <si>
    <t>context</t>
  </si>
  <si>
    <t>usage</t>
  </si>
  <si>
    <t>improving everyday life</t>
  </si>
  <si>
    <t>digital competences</t>
  </si>
  <si>
    <t>knowledge of technical basics</t>
  </si>
  <si>
    <t>ai device and software applicationplatform operations</t>
  </si>
  <si>
    <t>problem solving</t>
  </si>
  <si>
    <t>careerrelated competences</t>
  </si>
  <si>
    <t>ai content creation</t>
  </si>
  <si>
    <t>impact</t>
  </si>
  <si>
    <t>cognitive</t>
  </si>
  <si>
    <t>what is ai</t>
  </si>
  <si>
    <t>what can ai do</t>
  </si>
  <si>
    <t>how does ai work</t>
  </si>
  <si>
    <t>understanding ai as software</t>
  </si>
  <si>
    <t>how should ai be used</t>
  </si>
  <si>
    <t>subjectobject analysis layer</t>
  </si>
  <si>
    <t>project design layer</t>
  </si>
  <si>
    <t>learning tools layer</t>
  </si>
  <si>
    <t>understanding ais nature</t>
  </si>
  <si>
    <t>recognizing ais capabilities</t>
  </si>
  <si>
    <t>understanding the consequences of ai</t>
  </si>
  <si>
    <t>skillsapplication of ai</t>
  </si>
  <si>
    <t>programmability of ai</t>
  </si>
  <si>
    <t>functional view of ai</t>
  </si>
  <si>
    <t>critical view of ai</t>
  </si>
  <si>
    <t>rhetorical view of ai</t>
  </si>
  <si>
    <t>understanding techniques and concepts</t>
  </si>
  <si>
    <t>defining and understanding ai</t>
  </si>
  <si>
    <t>cultural and linguistic diversity</t>
  </si>
  <si>
    <t>existing educational systems and curricula</t>
  </si>
  <si>
    <t>knowledgecognition</t>
  </si>
  <si>
    <t>skillsbehavior</t>
  </si>
  <si>
    <t>generative ai</t>
  </si>
  <si>
    <t>recognizing ai</t>
  </si>
  <si>
    <t>understanding intelligence</t>
  </si>
  <si>
    <t>general vs narrow</t>
  </si>
  <si>
    <t>ais strengths weaknesses</t>
  </si>
  <si>
    <t>imagine future ai</t>
  </si>
  <si>
    <t>representations</t>
  </si>
  <si>
    <t>decisionmaking</t>
  </si>
  <si>
    <t>human role in ai</t>
  </si>
  <si>
    <t>learning from data</t>
  </si>
  <si>
    <t>critically interpreting data</t>
  </si>
  <si>
    <t>sensors</t>
  </si>
  <si>
    <t>people perceive ai</t>
  </si>
  <si>
    <t>disconnecting</t>
  </si>
  <si>
    <t>analyzing through</t>
  </si>
  <si>
    <t>read</t>
  </si>
  <si>
    <t>write</t>
  </si>
  <si>
    <t>communicate</t>
  </si>
  <si>
    <t>motivating ai use</t>
  </si>
  <si>
    <t>describing the problem to solve with ai</t>
  </si>
  <si>
    <t>assessing ai affordances</t>
  </si>
  <si>
    <t>informing ai use with appropriate information</t>
  </si>
  <si>
    <t>shaping ai use</t>
  </si>
  <si>
    <t>cognitive learning</t>
  </si>
  <si>
    <t>know and understand</t>
  </si>
  <si>
    <t>use and apply ai</t>
  </si>
  <si>
    <t>vocabulary</t>
  </si>
  <si>
    <t>jargon</t>
  </si>
  <si>
    <t>stem for sustainability</t>
  </si>
  <si>
    <t>authentic learning</t>
  </si>
  <si>
    <t>acquisition</t>
  </si>
  <si>
    <t>implementation</t>
  </si>
  <si>
    <t>optimization</t>
  </si>
  <si>
    <t>analysis</t>
  </si>
  <si>
    <t>and archiving</t>
  </si>
  <si>
    <t>individual competencies</t>
  </si>
  <si>
    <t>recognize the benefits and limitations of ai tools</t>
  </si>
  <si>
    <t>additional competencies for understanding ai</t>
  </si>
  <si>
    <t>analyse ethical considerations in the development and deployment of ai</t>
  </si>
  <si>
    <t>potential ai use cases</t>
  </si>
  <si>
    <t>implications of using ai in the domain</t>
  </si>
  <si>
    <t>additional learning resources</t>
  </si>
  <si>
    <t>assessment</t>
  </si>
  <si>
    <t>conceptualization of ai</t>
  </si>
  <si>
    <t>applied knowledge</t>
  </si>
  <si>
    <t>ai applications and its interdisciplinarity</t>
  </si>
  <si>
    <t>skills use</t>
  </si>
  <si>
    <t>critically examine ai tools</t>
  </si>
  <si>
    <t>data</t>
  </si>
  <si>
    <t>issues</t>
  </si>
  <si>
    <t>organizational context</t>
  </si>
  <si>
    <t>embodimenttangibility</t>
  </si>
  <si>
    <t>general vs narrow ai</t>
  </si>
  <si>
    <t>ais strengths and weaknesses</t>
  </si>
  <si>
    <t>knowledge representations</t>
  </si>
  <si>
    <t>machine learning steps</t>
  </si>
  <si>
    <t>technological scientific knowledge</t>
  </si>
  <si>
    <t>technical skills</t>
  </si>
  <si>
    <t>capacity building and education</t>
  </si>
  <si>
    <t>continuous evaluation and adaptation</t>
  </si>
  <si>
    <t>continuity</t>
  </si>
  <si>
    <t>transmissional inquiry pathway</t>
  </si>
  <si>
    <t>transactional inquiry pathway</t>
  </si>
  <si>
    <t>personal ai security</t>
  </si>
  <si>
    <t>ai cocreation identity</t>
  </si>
  <si>
    <t>intellectual property in ai</t>
  </si>
  <si>
    <t>ai context creation thinking</t>
  </si>
  <si>
    <t>computational ai thinking</t>
  </si>
  <si>
    <t>ai math logic thinking</t>
  </si>
  <si>
    <t>ai systems thinking</t>
  </si>
  <si>
    <t>ai data analysis and management ability</t>
  </si>
  <si>
    <t>ai communication ability</t>
  </si>
  <si>
    <t>ai features</t>
  </si>
  <si>
    <t>ai processing</t>
  </si>
  <si>
    <t>algorithm influences</t>
  </si>
  <si>
    <t>ai skills</t>
  </si>
  <si>
    <t>ai fundamentals</t>
  </si>
  <si>
    <t>elements of ai technology</t>
  </si>
  <si>
    <t>application of ai technology</t>
  </si>
  <si>
    <t>ai and human</t>
  </si>
  <si>
    <t>ai and society</t>
  </si>
  <si>
    <t>computational thinking</t>
  </si>
  <si>
    <t>skills</t>
  </si>
  <si>
    <t>values</t>
  </si>
  <si>
    <t>ethics</t>
  </si>
  <si>
    <t>navigate ethically</t>
  </si>
  <si>
    <t>ai and ethics</t>
  </si>
  <si>
    <t>manipulation</t>
  </si>
  <si>
    <t>awareness</t>
  </si>
  <si>
    <t>a critical approach</t>
  </si>
  <si>
    <t>ethical approach</t>
  </si>
  <si>
    <t>completing specific tasks</t>
  </si>
  <si>
    <t>ai ethics</t>
  </si>
  <si>
    <t>technology</t>
  </si>
  <si>
    <t>ethical</t>
  </si>
  <si>
    <t>ethical literacy</t>
  </si>
  <si>
    <t>experiential trust</t>
  </si>
  <si>
    <t>regulatory advocacy</t>
  </si>
  <si>
    <t>framework for critical questioning</t>
  </si>
  <si>
    <t>ai ethics literacy</t>
  </si>
  <si>
    <t>ml steps</t>
  </si>
  <si>
    <t>tracking</t>
  </si>
  <si>
    <t>benefits and risks in situated practice</t>
  </si>
  <si>
    <t>ethical learning</t>
  </si>
  <si>
    <t>prompt engineering</t>
  </si>
  <si>
    <t>specific suggested tools applications</t>
  </si>
  <si>
    <t>ethics appropriacy</t>
  </si>
  <si>
    <t>proactive exploration</t>
  </si>
  <si>
    <t>future prospects</t>
  </si>
  <si>
    <t>scientific citizenship</t>
  </si>
  <si>
    <t>cleansing</t>
  </si>
  <si>
    <t>sharing</t>
  </si>
  <si>
    <t>relational practices</t>
  </si>
  <si>
    <t>ethical implications and decisionmaking</t>
  </si>
  <si>
    <t>legal</t>
  </si>
  <si>
    <t>social aspects</t>
  </si>
  <si>
    <t>environment digital</t>
  </si>
  <si>
    <t>socioethical technical understanding</t>
  </si>
  <si>
    <t>ethical design principles for digital tools</t>
  </si>
  <si>
    <t>participatory governance models</t>
  </si>
  <si>
    <t>accountability and oversight structures</t>
  </si>
  <si>
    <t>criticality</t>
  </si>
  <si>
    <t>transformative inquiry pathway</t>
  </si>
  <si>
    <t>ai safety awareness</t>
  </si>
  <si>
    <t>organizational ai security</t>
  </si>
  <si>
    <t>digital ai citizen identity</t>
  </si>
  <si>
    <t>ai identity management</t>
  </si>
  <si>
    <t>digital ai empathy</t>
  </si>
  <si>
    <t>ai critical thinking</t>
  </si>
  <si>
    <t>ethical consideration</t>
  </si>
  <si>
    <t>threat appraisal</t>
  </si>
  <si>
    <t>engineering design thinking</t>
  </si>
  <si>
    <t>access</t>
  </si>
  <si>
    <t>project rules layer</t>
  </si>
  <si>
    <t>Others</t>
  </si>
  <si>
    <t>resource constraints and infrastructure limitations</t>
  </si>
  <si>
    <t>local economic priorities and workforce needs</t>
  </si>
  <si>
    <t>central zone</t>
  </si>
  <si>
    <t>writing ethnographic vignettes</t>
  </si>
  <si>
    <t>erasing</t>
  </si>
  <si>
    <t>time and chronology</t>
  </si>
  <si>
    <t>Human-centred mindset</t>
  </si>
  <si>
    <t>human-centred mindset</t>
  </si>
  <si>
    <t xml:space="preserve">human agency </t>
  </si>
  <si>
    <t>human accountability</t>
  </si>
  <si>
    <t xml:space="preserve">citizenship in the era of ai </t>
  </si>
  <si>
    <t>Ethics of AI</t>
  </si>
  <si>
    <t>ethics of ai</t>
  </si>
  <si>
    <t>embodied ethics</t>
  </si>
  <si>
    <t>safe and responsible use</t>
  </si>
  <si>
    <t>ethics by design</t>
  </si>
  <si>
    <t>AI techniques and applications</t>
  </si>
  <si>
    <t>ai techniques and applications</t>
  </si>
  <si>
    <t>ai foundations</t>
  </si>
  <si>
    <t>application skills</t>
  </si>
  <si>
    <t>creating ai tools</t>
  </si>
  <si>
    <t xml:space="preserve">AI system design </t>
  </si>
  <si>
    <t xml:space="preserve">ai system design </t>
  </si>
  <si>
    <t>problem scoping</t>
  </si>
  <si>
    <t>architecture design</t>
  </si>
  <si>
    <t>iteration and feedback loops</t>
  </si>
  <si>
    <t>Sim_max_Human-centred mindset</t>
  </si>
  <si>
    <t>Sim_max_Ethics of AI</t>
  </si>
  <si>
    <t>Sim_max_AI techniques and applications</t>
  </si>
  <si>
    <t>Sim_max_AI system design</t>
  </si>
  <si>
    <t>AI system design</t>
  </si>
  <si>
    <t>ED-AI Lit: An Interdisciplinary Framework for AI Literacy in Education</t>
    <phoneticPr fontId="3" type="noConversion"/>
  </si>
  <si>
    <t>Knowledge,Evaluation,Collaboration,Autonomy,Ethics</t>
    <phoneticPr fontId="3" type="noConversion"/>
  </si>
  <si>
    <t xml:space="preserve">Recognize,Know &amp; Understand,Use &amp; Apply ,Evaluate, Create, Navigate Ethically </t>
    <phoneticPr fontId="3" type="noConversion"/>
  </si>
  <si>
    <t>. Introduction to AI,.AI and Ethics, AI and the Future of Work, AI Careers</t>
    <phoneticPr fontId="3" type="noConversion"/>
  </si>
  <si>
    <t>Probability, Context,Training,Manipulation</t>
    <phoneticPr fontId="3" type="noConversion"/>
  </si>
  <si>
    <t>Learning to recognize artifacts using AI,Learning about how AI works,Learning tools for AI,Learning for life with AI</t>
    <phoneticPr fontId="3" type="noConversion"/>
  </si>
  <si>
    <t>Exploring the Determinants of Artificial Intelligence (AI) Literacy: Digital Divide, Computational Thinking, Cognitive Absorption</t>
    <phoneticPr fontId="3" type="noConversion"/>
  </si>
  <si>
    <t xml:space="preserve">Awareness, Usage, Evaluation, Ethics </t>
    <phoneticPr fontId="3" type="noConversion"/>
  </si>
  <si>
    <t>A critical approach, Ethical approach, Completing specific tasks, Improving everyday life,Digital competences,Knowledge of technical basics</t>
    <phoneticPr fontId="3" type="noConversion"/>
  </si>
  <si>
    <t>A Competency Framework for AI Literacy: Variations by Different Learner Groups and an Implied Learning Pathway</t>
    <phoneticPr fontId="3" type="noConversion"/>
  </si>
  <si>
    <t>AI device and software/ application/platform operations, Data and algorithm literacy, Problem solving,Communication and collaboration, AI ethics, Career-related competences, AI content creation, Affective competences.</t>
    <phoneticPr fontId="3" type="noConversion"/>
  </si>
  <si>
    <t>What are artificial intelligence literacy and competency? A comprehensive framework to support them</t>
    <phoneticPr fontId="3" type="noConversion"/>
  </si>
  <si>
    <t xml:space="preserve">Technology,Impact ,Ethics, Collaboration ,Self-reflection </t>
    <phoneticPr fontId="3" type="noConversion"/>
  </si>
  <si>
    <t xml:space="preserve">Affective,Behavioural, Cognitive,Ethical </t>
    <phoneticPr fontId="3" type="noConversion"/>
  </si>
  <si>
    <t>Developing an AI literacy diagnostic tool for elementary school students</t>
    <phoneticPr fontId="3" type="noConversion"/>
  </si>
  <si>
    <t>What is AI?,What can AI do?,How does AI work?,Understanding AI as software ,How should AI be used?</t>
    <phoneticPr fontId="3" type="noConversion"/>
  </si>
  <si>
    <t>Subject-Object Analysis Layer,Project Design Layer,Learning Tools Layer,Project Rules Layer,Project Goals Layer</t>
    <phoneticPr fontId="3" type="noConversion"/>
  </si>
  <si>
    <t xml:space="preserve">Understanding AI’s nature,Recognizing AI’s capabilities ,Understanding the consequences of AI,Skills/Application of AI,Programmability of AI </t>
    <phoneticPr fontId="3" type="noConversion"/>
  </si>
  <si>
    <t xml:space="preserve">Ethical Literacy,Experiential Trust,Regulatory Advocacy </t>
    <phoneticPr fontId="3" type="noConversion"/>
  </si>
  <si>
    <t>Assistant, Parrot, or Colonizing Loudspeaker? ChatGPT Metaphors for Developing Critical AI Literacies</t>
  </si>
  <si>
    <t>Functional view of AI,Critical view of AI ,Rhetorical view of AI</t>
    <phoneticPr fontId="3" type="noConversion"/>
  </si>
  <si>
    <t>Understanding techniques and concepts,Defining and Understanding AI,Framework for critical questioning</t>
    <phoneticPr fontId="3" type="noConversion"/>
  </si>
  <si>
    <t>AI Literacy Framework and Strategies for Implementation in Developing Nations</t>
    <phoneticPr fontId="3" type="noConversion"/>
  </si>
  <si>
    <t>Resource constraints and infrastructure limitations,Cultural and linguistic diversity,Local economic priorities and workforce needs,Existing educational systems and curricula</t>
    <phoneticPr fontId="3" type="noConversion"/>
  </si>
  <si>
    <t xml:space="preserve">Generic AI literacy,Domain-specific AI literacy,AI Ethics literacy,Knowledge/Cognition,Skills/Behavior,Attitudes/Values </t>
    <phoneticPr fontId="3" type="noConversion"/>
  </si>
  <si>
    <t>Learning,Teaching,Generative AI,Learning–Teaching,Learning–Generative AI,Central Zone</t>
    <phoneticPr fontId="3" type="noConversion"/>
  </si>
  <si>
    <t>What is AI Literacy? Competencies and Design Considerations</t>
    <phoneticPr fontId="3" type="noConversion"/>
  </si>
  <si>
    <t>Recognizing AI,Understanding Intelligence, Interdisciplinarity, General vs. Narrow,AI’s Strengths &amp; Weaknesses, Imagine Future AI,Representations, Decision-Making,ML Steps, Human Role in AI,Data Literacy,Learning from Data,Critically Interpreting Data,Action &amp; Reaction,Sensors,Programmability,Ethics, People Perceive AI</t>
    <phoneticPr fontId="3" type="noConversion"/>
  </si>
  <si>
    <t>Tracking, Disconnecting,Situational mapping,Analyzing through,Writing ethnographic vignettes</t>
    <phoneticPr fontId="3" type="noConversion"/>
  </si>
  <si>
    <t>Read,Write,Appraise,Communicate,Participate</t>
    <phoneticPr fontId="3" type="noConversion"/>
  </si>
  <si>
    <t>AI Thinking: a framework for rethinking artificial intelligence in practice</t>
    <phoneticPr fontId="3" type="noConversion"/>
  </si>
  <si>
    <t xml:space="preserve">motivating AI use,describing the problem to solve with AI,assessing AI affordances,informing AI use with appropriate information,shaping AI use, benefits and risks in situated practice </t>
    <phoneticPr fontId="3" type="noConversion"/>
  </si>
  <si>
    <t>Design and validation of the AI literacy questionnaire: The affective, behavioural, cognitive and ethical approach</t>
    <phoneticPr fontId="3" type="noConversion"/>
  </si>
  <si>
    <t>Affective Learning,Behavioural Learning,Cognitive Learning,Ethical Learning</t>
    <phoneticPr fontId="3" type="noConversion"/>
  </si>
  <si>
    <t xml:space="preserve"> Intrinsic motivation, Self-efficacy,Behavioral intention,  Behavioral engagement,  Know and understand, Use and apply AI,Affective learning ,Behavioral learning,Cognitive learning ,Ethical learning</t>
    <phoneticPr fontId="3" type="noConversion"/>
  </si>
  <si>
    <t>Vocabulary, jargon, concepts, Inner workings,Prompt engineering, Specific suggested tools &amp; applications, Ethics &amp; appropriacy</t>
    <phoneticPr fontId="3" type="noConversion"/>
  </si>
  <si>
    <t>Fostering Transversal Skills Through Open Schooling Supported by the CARE-KNOW-DO Pedagogical Model and the UNESCO AI Competencies Framework</t>
    <phoneticPr fontId="3" type="noConversion"/>
  </si>
  <si>
    <t>Proactive Exploration,Affective Engagement,STEM for Sustainability,Problem Solving, Future Prospects,Scientific Citizenship,Authentic Learning</t>
    <phoneticPr fontId="3" type="noConversion"/>
  </si>
  <si>
    <t>Addressing AI and Data Literacy in Teacher Education: A Review of Existing Educational Frameworks</t>
    <phoneticPr fontId="3" type="noConversion"/>
  </si>
  <si>
    <t>Acquisition,Cleansing,Implementation,Optimization,Visualization,Analysis,Evaluation,Sharing, Erasing, and Archiving</t>
    <phoneticPr fontId="3" type="noConversion"/>
  </si>
  <si>
    <t>Exploring interfaces and implications for integrating social-emotional competencies into AI literacy for education: a narrative review</t>
    <phoneticPr fontId="3" type="noConversion"/>
  </si>
  <si>
    <t xml:space="preserve">Relational Practices,Individual Competencies,Ethical Implications and Decision-Making,Expansion of AI Literacy Framework </t>
    <phoneticPr fontId="3" type="noConversion"/>
  </si>
  <si>
    <t>Recognize the benefits and limitations of AI tools,Additional competencies for understanding AI,Analyse ethical considerations in the development and deployment of AI</t>
    <phoneticPr fontId="3" type="noConversion"/>
  </si>
  <si>
    <t>AI Course Design Planning Framework: Developing Domain-Specific AI Education Courses</t>
    <phoneticPr fontId="3" type="noConversion"/>
  </si>
  <si>
    <t>Domain,Potential AI Use Cases,Implications of using AI in the Domain,Additional Learning Resources,Learners and their Interaction with AI, Instructors, Internal Support,Learning Outcomes,Assessment,	
Learning Activities</t>
    <phoneticPr fontId="3" type="noConversion"/>
  </si>
  <si>
    <t>Artificial intelligence literacy: a proposed faceted taxonomy</t>
    <phoneticPr fontId="3" type="noConversion"/>
  </si>
  <si>
    <t>Conceptualization of AI, Contextualization of AI literacy, Applied knowledge, AI applications and its interdisciplinarity, Skills: use, recognize, interact and engage with, critically examine AI tools, Data, Ethical, legal, social aspects, issues, concerns, Environment (physical), Environment (digital), Organizational context, People: individual context, Embodiment/tangibility, Time and chronology</t>
    <phoneticPr fontId="3" type="noConversion"/>
  </si>
  <si>
    <t>Codesigning AI with End-Users: An AI Literacy Toolkit for Nontechnical Audiences</t>
    <phoneticPr fontId="3" type="noConversion"/>
  </si>
  <si>
    <t>Recognizing AI, Understanding intelligence, Interdisciplinarity, General vs. narrow AI, AI's strengths and weaknesses, Imagine future AI, Knowledge representations, Decision-making, Machine learning steps, Human role in AI, Data literacy, Critically interpreting data, Action and reaction, Sensors, Ethics, Programmability</t>
    <phoneticPr fontId="3" type="noConversion"/>
  </si>
  <si>
    <t>Artificial intelligence literacy for technology education</t>
    <phoneticPr fontId="3" type="noConversion"/>
  </si>
  <si>
    <t>Technological scientific knowledge,Technical skills, Socio-ethical technical understanding</t>
    <phoneticPr fontId="3" type="noConversion"/>
  </si>
  <si>
    <t>Framing Ethical e-Governance: A Plaidoyer for a Human-Rights based Digital Democracy Approach</t>
    <phoneticPr fontId="3" type="noConversion"/>
  </si>
  <si>
    <t>Ethical Design Principles for Digital Tools,Participatory Governance Models,Accountability and Oversight Structures,Capacity Building and Education,Continuous Evaluation and Adaptation</t>
    <phoneticPr fontId="3" type="noConversion"/>
  </si>
  <si>
    <t>ChatGPT for the intellectual soul: a Deweyan perspective on AI-based multicultural classroom praxis</t>
    <phoneticPr fontId="3" type="noConversion"/>
  </si>
  <si>
    <t>Curiosity,Creativity,Continuity,Criticality,Transmissional inquiry pathway,Transactional inquiry pathway,Transformative inquiry pathway</t>
    <phoneticPr fontId="3" type="noConversion"/>
  </si>
  <si>
    <t>AI Safety Awareness, Content AI Interaction, Personal AI Security, Organizational AI Security, AI Co-Creation Identity, Digital AI Citizen Identity, AI Identity Management, Intellectual Property in AI, AI Self-Awareness, Self-Management with AI, Digital AI Empathy, AI Context Creation Thinking, Computational AI Thinking, AI Math Logic Thinking, AI Critical Thinking, AI Systems Thinking, AI Contextual Understanding Ability, AI Data Analysis and Management Ability, AI Exploratory Learning and Problem-solving Ability, AI Communication Ability</t>
    <phoneticPr fontId="3" type="noConversion"/>
  </si>
  <si>
    <t>AI features,AI processing,Algorithm influences,User efficacy,Ethical consideration,	
Threat appraisal</t>
    <phoneticPr fontId="3" type="noConversion"/>
  </si>
  <si>
    <t>Students as AI literate designers: a pedagogical framework for learning and teaching AI literacy in elementary education</t>
    <phoneticPr fontId="3" type="noConversion"/>
  </si>
  <si>
    <t>AI knowledge,AI skills,AI ethics,AI attitudes</t>
    <phoneticPr fontId="3" type="noConversion"/>
  </si>
  <si>
    <t>AI fundamentals, Elements of AI technology, Application of AI technology, AI and human, AI and society, Engineering design thinking, Computational thinking</t>
    <phoneticPr fontId="3" type="noConversion"/>
  </si>
  <si>
    <t>Using the information inequity framework to study GenAI equity: analysis of educational perspectives</t>
  </si>
  <si>
    <t>Access,Content,Context,Skills,Values</t>
    <phoneticPr fontId="3" type="noConversion"/>
  </si>
  <si>
    <t>Paper No.</t>
    <phoneticPr fontId="3" type="noConversion"/>
  </si>
  <si>
    <t>Keywords</t>
    <phoneticPr fontId="3" type="noConversion"/>
  </si>
  <si>
    <t>Article Title</t>
    <phoneticPr fontId="3" type="noConversion"/>
  </si>
  <si>
    <t>Framework Elements</t>
    <phoneticPr fontId="3" type="noConversion"/>
  </si>
  <si>
    <t xml:space="preserve">digital information literacy in terms of attention, confidence, satisfaction, enjoyment and perceived usefulness. </t>
    <phoneticPr fontId="3" type="noConversion"/>
  </si>
  <si>
    <t>Article No.</t>
    <phoneticPr fontId="3" type="noConversion"/>
  </si>
  <si>
    <t>C</t>
  </si>
  <si>
    <t>Authors</t>
  </si>
  <si>
    <t>Source Title</t>
  </si>
  <si>
    <t>J</t>
  </si>
  <si>
    <t>Rodríguez-Vázquez, AI; García-Ruiz, R; Aguaded, I</t>
  </si>
  <si>
    <t>TRIPODOS</t>
  </si>
  <si>
    <t>Hauwaert, H; Ghesquière, P; Tordoir, J; Thomson, J</t>
  </si>
  <si>
    <t>COMPUTERS HELPING PEOPLE WITH SPECIAL NEEDS, ICCHP 2020, PT I</t>
  </si>
  <si>
    <t>Tan, DAL; Lee, BC; Kasuma, SAA; Ganapathy, M</t>
  </si>
  <si>
    <t>Picture Superiority Effect: Using Images for Vocabulary Enhancement Among Year One Malaysian ESL Learners</t>
  </si>
  <si>
    <t>PERTANIKA JOURNAL OF SOCIAL SCIENCE AND HUMANITIES</t>
  </si>
  <si>
    <t>Korepin, VN; Dorozhkin, EM; Mikhaylova, AV; Davydova, NN</t>
  </si>
  <si>
    <t>RETRACTED: Digital Economy and Digital Logistics as New Area of Study in Higher Education (Retracted Article)</t>
  </si>
  <si>
    <t>INTERNATIONAL JOURNAL OF EMERGING TECHNOLOGIES IN LEARNING</t>
  </si>
  <si>
    <t>Kobayashi, T; Arai, K; Imai, T; Tanimoto, S; Sato, H; Kanai, A; Miyazaki, T; Tsujino, A</t>
  </si>
  <si>
    <t>Service-Oriented Software Design Model for Communication Robot</t>
  </si>
  <si>
    <t>2020 14TH IEEE INTERNATIONAL CONFERENCE ON SERVICE-ORIENTED SYSTEM ENGINEERING (SOSE 2020)</t>
  </si>
  <si>
    <t>Wan, XY; Zhou, XF; Ye, ZQ; Mortensen, CK; Bai, Z</t>
  </si>
  <si>
    <t>SmileyCluster: Supporting Accessible Machine Learning in K-12 Scientific Discovery</t>
  </si>
  <si>
    <t>PROCEEDINGS OF IDC 2020</t>
  </si>
  <si>
    <t>Long, DR; Magerko, B</t>
  </si>
  <si>
    <t>PROCEEDINGS OF THE 2020 CHI CONFERENCE ON HUMAN FACTORS IN COMPUTING SYSTEMS (CHI'20)</t>
  </si>
  <si>
    <t>Ocholla, DN; Ocholla, L</t>
  </si>
  <si>
    <t>Readiness of academic libraries in South Africa to research, teaching and learning support in the Fourth Industrial Revolution</t>
  </si>
  <si>
    <t>LIBRARY MANAGEMENT</t>
  </si>
  <si>
    <t>Calvo, D; Cano-Orón, L; Abengozar, AE</t>
  </si>
  <si>
    <t>REVISTA ICONO 14-REVISTA CIENTIFICA DE COMUNICACION Y TECNOLOGIAS</t>
  </si>
  <si>
    <t>Ajayi, AI; Awopegba, OE; Adeagbo, OA; Ushie, BA</t>
  </si>
  <si>
    <t>Low coverage of HIV testing among adolescents and young adults in Nigeria: Implication for achieving the UNAIDS first 95</t>
  </si>
  <si>
    <t>PLOS ONE</t>
  </si>
  <si>
    <t>Robinson, SC</t>
  </si>
  <si>
    <t>Trust, transparency, and openness: How inclusion of cultural values shapes Nordic national public policy strategies for artificial intelligence (AI)</t>
  </si>
  <si>
    <t>TECHNOLOGY IN SOCIETY</t>
  </si>
  <si>
    <t>Fitzgerald, KC; Maki, PM; Xu, YX; Jin, W; Dastgheyb, R; Williams, DW; Springer, G; Anastos, K; Gustafson, D; Spence, AB; Adimora, AA; Waldrop, D; Vance, DE; Bolivar, H; Valcour, VG; Rubin, LH</t>
  </si>
  <si>
    <t>Factors Predicting Detrimental Change in Declarative Memory Among Women With HIV: A Study of Heterogeneity in Cognition</t>
  </si>
  <si>
    <t>FRONTIERS IN PSYCHOLOGY</t>
  </si>
  <si>
    <t>Zhexenova, Z; Amirova, A; Abdikarimova, M; Kudaibergenov, K; Baimakhan, N; Tleubayev, B; Asselborn, T; Johal, W; Dillenbourg, P; CohenMiller, A; Sandygulova, A</t>
  </si>
  <si>
    <t>FRONTIERS IN ROBOTICS AND AI</t>
  </si>
  <si>
    <t>Olari, V; Romeike, R</t>
  </si>
  <si>
    <t>Addressing AI and Data Literacy in Teacher Education: A Review of Existing Educational Frameworks</t>
  </si>
  <si>
    <t>PROCEEDINGS OF THE 16TH WORKSHOP IN PRIMARY AND SECONDARY COMPUTING EDUCATION, WIPSCE 2021</t>
  </si>
  <si>
    <t>Coetzee, C; Matthee, M</t>
  </si>
  <si>
    <t>Computational Numeracy (CN) for Under-Prepared, Novice Programming Students</t>
  </si>
  <si>
    <t>RESPONSIBLE AI AND ANALYTICS FOR AN ETHICAL AND INCLUSIVE DIGITIZED SOCIETY, I3E 2021</t>
  </si>
  <si>
    <t>Peinado, I; de Lera, E; Usero, JM; Clark, C; Treviranus, J; Vanderheiden, G</t>
  </si>
  <si>
    <t>Digital Inclusion at the Workplace Post Covid19</t>
  </si>
  <si>
    <t>PROCEEDINGS OF THE 13TH INTERNATIONAL JOINT CONFERENCE ON COMPUTATIONAL INTELLIGENCE (IJCCI)</t>
  </si>
  <si>
    <t>Ozbalci, S</t>
  </si>
  <si>
    <t>INCLUSIVE WORKPLACE, SOCIAL MOBILITY AND LOGISTICS</t>
  </si>
  <si>
    <t>LOGFORUM</t>
  </si>
  <si>
    <t>Liu, JQ; Jung, YJ</t>
  </si>
  <si>
    <t>Interest Development, Knowledge Learning, and Interactive IR Toward a State-based Approach to Search as Learning</t>
  </si>
  <si>
    <t>CHIIR '21: PROCEEDINGS OF THE 2021 CONFERENCE ON HUMAN INFORMATION INTERACTION AND RETRIEVAL</t>
  </si>
  <si>
    <t>Voulgari, I; Zammit, M; Stouraitis, E; Liapis, A; Yannakakis, GN</t>
  </si>
  <si>
    <t>Learn to Machine Learn: Designing a Game Based Approach for Teaching Machine Learning to Primary and Secondary Education Students</t>
  </si>
  <si>
    <t>IDC '21: PROCEEDINGS OF INTERACTION DESIGN AND CHILDREN 2021</t>
  </si>
  <si>
    <t>Sanchez-Acedo, A; Carbonell-Alcocer, A; Gertrudix, M; Rubio-Tamayo, JL</t>
  </si>
  <si>
    <t>The challenges of media and information literacy in the artificial intelligence ecology : deepfakes and misinformation</t>
  </si>
  <si>
    <t>COMMUNICATION &amp; SOCIETY-SPAIN</t>
  </si>
  <si>
    <t>Zammit, M; Voulgari, I; Liapis, A; Yannakakis, G</t>
  </si>
  <si>
    <t>PROCEEDINGS OF THE 15TH EUROPEAN CONFERENCE ON GAME BASED LEARNING (ECGBL 2021)</t>
  </si>
  <si>
    <t>Rodriguez-Ruiz, J; Alvarez-Delgado, A; Caratozzolo, P</t>
  </si>
  <si>
    <t>Use of Natural Language Processing (NLP) Tools to Assess Digital Literacy Skills</t>
  </si>
  <si>
    <t>2021 MACHINE LEARNING-DRIVEN DIGITAL TECHNOLOGIES FOR EDUCATIONAL INNOVATION WORKSHOP</t>
  </si>
  <si>
    <t>Wienrich, C; Carolus, A</t>
  </si>
  <si>
    <t>Development of an Instrument to Measure Conceptualizations and Competencies About Conversational Agents on the Example of Smart Speakers</t>
  </si>
  <si>
    <t>FRONTIERS IN COMPUTER SCIENCE</t>
  </si>
  <si>
    <t>Kupec, M; Jakubíková, D; Kupec, V</t>
  </si>
  <si>
    <t>Web Personalization And Artificial Intelligence As Tools For Marketing Communications</t>
  </si>
  <si>
    <t>MEDIA LITERACY AND ACADEMIC RESEARCH</t>
  </si>
  <si>
    <t>Lee, PY; Cheong, AT; Ghazali, SS; Salim, H; Wong, J; Hussein, N; Ramli, R; Pinnock, H; Liew, SM; Hanafi, NS; Abu Bakar, AI; Ahad, AM; Pang, YK; Chinna, K; Khoo, EM</t>
  </si>
  <si>
    <t>Barriers to implementing asthma self-management in Malaysian primary care: qualitative study exploring the perspectives of healthcare professionals</t>
  </si>
  <si>
    <t>NPJ PRIMARY CARE RESPIRATORY MEDICINE</t>
  </si>
  <si>
    <t>Cudjoe, J; Budhathoki, C; Roter, D; Gallo, JJ; Sharps, P; Han, HR</t>
  </si>
  <si>
    <t>Exploring Health Literacy and the Correlates of Pap Testing Among African Immigrant Women: Findings from the AfroPap Study</t>
  </si>
  <si>
    <t>JOURNAL OF CANCER EDUCATION</t>
  </si>
  <si>
    <t>Henry, J; Hernalesteen, A; Collard, AS</t>
  </si>
  <si>
    <t>Teaching Artificial Intelligence to K-12 Through a Role-Playing Game Questioning the Intelligence Concept</t>
  </si>
  <si>
    <t>KUNSTLICHE INTELLIGENZ</t>
  </si>
  <si>
    <t>Lee, J; Wu, ANSY; Li, D; Kulasegaram, K</t>
  </si>
  <si>
    <t>Artificial Intelligence in Undergraduate Medical Education: A Scoping Review</t>
  </si>
  <si>
    <t>ACADEMIC MEDICINE</t>
  </si>
  <si>
    <t>Liu, TM; Xiao, X</t>
  </si>
  <si>
    <t>A Framework of AI-Based Approaches to Improving eHealth Literacy and Combating Infodemic</t>
  </si>
  <si>
    <t>FRONTIERS IN PUBLIC HEALTH</t>
  </si>
  <si>
    <t>Veldkamp, SAM; Zondervan-Zwijnenburg, MAJ; van Bergen, E; Barzeva, SA; Tamayo-Martinez, N; Becht, A; van Beijsterveldt, CEM; Meeus, W; Branje, S; Hillegers, MHJ; Oldehinkel, AJ; Hoijtink, HJA; Boomsma, D; Hartman, C</t>
  </si>
  <si>
    <t>Parental Age in Relation to Offspring's Neurodevelopment</t>
  </si>
  <si>
    <t>JOURNAL OF CLINICAL CHILD AND ADOLESCENT PSYCHOLOGY</t>
  </si>
  <si>
    <t>Liu, YX; Moore, A; Webb, J; Vallor, S</t>
  </si>
  <si>
    <t>Artificial Moral Advisors: A New Perspective from Moral Psychology</t>
  </si>
  <si>
    <t>PROCEEDINGS OF THE 2022 AAAI/ACM CONFERENCE ON AI, ETHICS, AND SOCIETY, AIES 2022</t>
  </si>
  <si>
    <t>Kusuma, M; Mohanty, V; Wang, M; Luther, K</t>
  </si>
  <si>
    <t>Civil War Twin: Exploring Ethical Challenges in Designing an Educational Face Recognition Application</t>
  </si>
  <si>
    <t>Kakeshita, T; Ishii, K; Ishikawa, Y; Matsubara, H; Matsuo, Y; Murata, T; Nakano, M; Nakatani, T; Okumura, H; Takahashi, N; Takahashi, N; Uchida, G; Uematsu, E; Saeki, S; Kato, H</t>
  </si>
  <si>
    <t>Development of IPSJ Data Science Curriculum Standard</t>
  </si>
  <si>
    <t>DIGITAL TRANSFORMATION OF EDUCATION AND LEARNING - PAST, PRESENT AND FUTURE, OCCE 2021</t>
  </si>
  <si>
    <t>Medaglia, R; Tangi, L</t>
  </si>
  <si>
    <t>The adoption of Artificial Intelligence in the public sector in Europe: drivers, features, and impacts</t>
  </si>
  <si>
    <t>PROCEEDINGS OF THE 15TH INTERNATIONAL CONFERENCE ON THEORY AND PRACTICE OF ELECTRONIC GOVERNANCE, ICEGOV 2022</t>
  </si>
  <si>
    <t>Druga, S; Otero, N; Ko, AJ</t>
  </si>
  <si>
    <t>The Landscape of Teaching Resources for AI Education</t>
  </si>
  <si>
    <t>PROCEEDINGS OF THE 27TH ACM CONFERENCE ON INNOVATION AND TECHNOLOGY IN COMPUTER SCIENCE EDUCATION, ITICSE 2022, VOL 1</t>
  </si>
  <si>
    <t>Perla, L; Massaro, S</t>
  </si>
  <si>
    <t>Virtual Patient Education Scenarios: Exploratory Step in the Study of Obesity Prevention Through Telemedicine</t>
  </si>
  <si>
    <t>HIGHER EDUCATION LEARNING METHODOLOGIES AND TECHNOLOGIES ONLINE, HELMETO 2021</t>
  </si>
  <si>
    <t>Wilton, L; Ip, S; Sharma, M; Fan, F</t>
  </si>
  <si>
    <t>ARTIFICIAL INTELLIGENCE IN EDUCATION: POSTERS AND LATE BREAKING RESULTS, WORKSHOPS AND TUTORIALS, INDUSTRY AND INNOVATION TRACKS, PRACTITIONERS AND DOCTORAL CONSORTIUM, PT II</t>
  </si>
  <si>
    <t>Hirschprung, RS; Alkoby, S</t>
  </si>
  <si>
    <t>A Game Theory Approach for Assisting Humans in Online Information-Sharing</t>
  </si>
  <si>
    <t>INFORMATION</t>
  </si>
  <si>
    <t>Warren-Jeanpiere, L; Goparaju, L; Spence, AB; Michel, K; Wang, CW; Kikkisetti, A; Kassaye, S</t>
  </si>
  <si>
    <t>I Haven't Been Ill, I Know It's There: a Case Study Examination of the Social, Behavioral, Clinical, and Structural Factors that Contribute to Sustained Viremia Among Women Living with HIV</t>
  </si>
  <si>
    <t>JOURNAL OF RACIAL AND ETHNIC HEALTH DISPARITIES</t>
  </si>
  <si>
    <t>Zheng, YD; Tian, T; Zhang, A</t>
  </si>
  <si>
    <t>RETRACTED: Training Strategy of Music Expression in Piano Teaching and Performance by Intelligent Multimedia Technology (Retracted Article)</t>
  </si>
  <si>
    <t>INTERNATIONAL TRANSACTIONS ON ELECTRICAL ENERGY SYSTEMS</t>
  </si>
  <si>
    <t>Ahmad, T; Lazarte, EAA; Mirjalili, S</t>
  </si>
  <si>
    <t>A Systematic Literature Review on Fake News in the COVID-19 Pandemic: Can AI Propose a Solution?</t>
  </si>
  <si>
    <t>APPLIED SCIENCES-BASEL</t>
  </si>
  <si>
    <t>Orrego-Carmona, D</t>
  </si>
  <si>
    <t>Machine translation in everyone's hands - Adoption and changes among general users of MT</t>
  </si>
  <si>
    <t>TRADUMATICA-TRADUCCIO I TECNOLOGIES DE LA INFORMACIO I LA COMUNICACIO</t>
  </si>
  <si>
    <t>Jokhan, A; Chand, AA; Singh, V; Mamun, KA</t>
  </si>
  <si>
    <t>Increased Digital Resource Consumption in Higher Educational Institutions and the Artificial Intelligence Role in Informing Decisions Related to Student Performance</t>
  </si>
  <si>
    <t>SUSTAINABILITY</t>
  </si>
  <si>
    <t>Qiusi, M</t>
  </si>
  <si>
    <t>Research on the Improvement Method of Music Education Level under the Background of AI Technology</t>
  </si>
  <si>
    <t>MOBILE INFORMATION SYSTEMS</t>
  </si>
  <si>
    <t>Pathan, AI; Agnihotri, PG; Said, S; Patel, D</t>
  </si>
  <si>
    <t>AHP and TOPSIS based flood risk assessment- a case study of the Navsari City, Gujarat, India</t>
  </si>
  <si>
    <t>ENVIRONMENTAL MONITORING AND ASSESSMENT</t>
  </si>
  <si>
    <t>Shin, D; Rasul, A; Fotiadis, A</t>
  </si>
  <si>
    <t>INTERNET RESEARCH</t>
  </si>
  <si>
    <t>Wissemann, AK; Winona, S; Serafin, P; Gebhardt, H</t>
  </si>
  <si>
    <t>Strategic Guidance and Technological Solutions for Human Resources Management to Sustain an Aging Workforce: Review of International Standards, Research, and Use Cases</t>
  </si>
  <si>
    <t>JMIR HUMAN FACTORS</t>
  </si>
  <si>
    <t>Wang, Y; Zheng, L</t>
  </si>
  <si>
    <t>A Novel Deep Framework for English Communication Based on Educational Psychology Perspective</t>
  </si>
  <si>
    <t>Foxworth, LL; Hashey, AI; Dexter, C; Rasnitsyn, S; Beck, R</t>
  </si>
  <si>
    <t>Approaching Explicit Instruction Within a Universal Design for Learning Framework</t>
  </si>
  <si>
    <t>TEACHING EXCEPTIONAL CHILDREN</t>
  </si>
  <si>
    <t>Dohn, NB; Kafai, Y; Morch, A; Ragni, M</t>
  </si>
  <si>
    <t>Survey: Artificial Intelligence, Computational Thinking and Learning</t>
  </si>
  <si>
    <t>Kushardanto, H; Jakub, R; Suherfian, W; Subarno, T; Ansyori, AI; Sara, L; Alimina, N; Kardini, L; Rosa, ED; Yuliani, A; Medianti, E; Pradana, I; Setiawan, H; Muhammad, Y; Djafar, LF; Box, S; Cox, C; Campbell, SJ; Campbell, SJ</t>
  </si>
  <si>
    <t>Household finances and trust are key determinants of benefits from small-scale fisheries co-management</t>
  </si>
  <si>
    <t>MARINE POLICY</t>
  </si>
  <si>
    <t>Perez, AI; Fotiadou, G; Tsimpli, I</t>
  </si>
  <si>
    <t>Preserved Executive Control in Ageing: The Role of Literacy Experience</t>
  </si>
  <si>
    <t>BRAIN SCIENCES</t>
  </si>
  <si>
    <t>Cardet, JC; Chang, KL; Rooks, BJ; Carroll, JK; Celedón, JC; Coyne-Beasley, T; Cui, J; Ericson, B; Forth, VE; Fagan, M; Fuhlbrigge, AL; Hernandez, PA; Kruse, J; Louisias, M; Maher, NE; Manning, B; Pace, WD; Phipatanakul, W; Rodriguez-Louis, J; Shields, JB; Israel, E; Wisnivesky, JP</t>
  </si>
  <si>
    <t>Socioeconomic status associates with worse asthma morbidity among Black and Latinx adults</t>
  </si>
  <si>
    <t>JOURNAL OF ALLERGY AND CLINICAL IMMUNOLOGY</t>
  </si>
  <si>
    <t>Reddy, A</t>
  </si>
  <si>
    <t>Artificial everyday creativity: creative leaps with AI through critical making</t>
  </si>
  <si>
    <t>DIGITAL CREATIVITY</t>
  </si>
  <si>
    <t>Suyo-Vega, JA; Meneses-La-Riva, ME; Fernández-Bedoya, VH; Ocupa-Cabrera, HG; Alvarado-Suyo, SA; Polonia, AD; Miotto, AI; Gago-Chávez, JDS</t>
  </si>
  <si>
    <t>University teachers' self-perception of digital research competencies. A qualitative study conducted in Peru</t>
  </si>
  <si>
    <t>FRONTIERS IN EDUCATION</t>
  </si>
  <si>
    <t>Jiang, SY; Nocera, A; Tatar, C; Yoder, MM; Chao, J; Wiedemann, K; Finzer, W; Rosé, CP</t>
  </si>
  <si>
    <t>An empirical analysis of high school students' practices of modelling with unstructured data</t>
  </si>
  <si>
    <t>BRITISH JOURNAL OF EDUCATIONAL TECHNOLOGY</t>
  </si>
  <si>
    <t>Bogina, V; Hartman, A; Kuflik, T; Shulner-Tal, A</t>
  </si>
  <si>
    <t>Educating Software and AI Stakeholders About Algorithmic Fairness, Accountability, Transparency and Ethics</t>
  </si>
  <si>
    <t>INTERNATIONAL JOURNAL OF ARTIFICIAL INTELLIGENCE IN EDUCATION</t>
  </si>
  <si>
    <t>Sharma, S; White, E; Kinnula, M; Iivari, N; Monga, C</t>
  </si>
  <si>
    <t>Age against the machine</t>
  </si>
  <si>
    <t>PROCEEDINGS OF THE 4TH AFRICAN CONFERENCE FOR HUMAN COMPUTER INTERACTION, AFRICHI 2023</t>
  </si>
  <si>
    <t>Dierickx, L; Lindén, CG; Opdahl, AL; Khan, SA; Rojas, DCG</t>
  </si>
  <si>
    <t>AI in the newsroom: A data quality assessment framework for employing machine learning in journalistic workflows</t>
  </si>
  <si>
    <t>5TH INTERNATIONAL CONFERENCE ON ADVANCED RESEARCH METHODS AND ANALYTICS, CARMA2023</t>
  </si>
  <si>
    <t>Liu, S; Schulz, T; Toreini, P; Maedche, A</t>
  </si>
  <si>
    <t>PROCEEDINGS OF 2023 MENSCH UND COMPUTER, MUC 2023: Building Bridges</t>
  </si>
  <si>
    <t>Artificial Intelligence (AI) Literacy Questionnaire with Confirmatory Factor Analysis</t>
  </si>
  <si>
    <t>2023 IEEE INTERNATIONAL CONFERENCE ON ADVANCED LEARNING TECHNOLOGIES, ICALT</t>
  </si>
  <si>
    <t>González, YM; Rodríguez, CT; Pascua, JCT; Rodríguez, AI; Martin, AH</t>
  </si>
  <si>
    <t>Data Literacy: Perception and degree of satisfaction among university students</t>
  </si>
  <si>
    <t>REVISTA GENERAL DE INFORMACION Y DOCUMENTACION</t>
  </si>
  <si>
    <t>Shimizu, I; Kasai, H; Shikino, K; Araki, N; Takahashi, Z; Onodera, M; Kimura, Y; Tsukamoto, T; Yamauchi, K; Asahina, M; Ito, S; Kawakami, E</t>
  </si>
  <si>
    <t>Developing Medical Education Curriculum Reform Strategies to Address the Impact of Generative AI: Qualitative Study</t>
  </si>
  <si>
    <t>JMIR MEDICAL EDUCATION</t>
  </si>
  <si>
    <t>Kusumadani, AI; Rahardjo, SB; Yamtinah, S; Prayitno, BA</t>
  </si>
  <si>
    <t>Development of High-Order Thinking Skills (HOTs) Instruments with a SocioScientific Problem-Based Learning Approach on the Subject of Viruses</t>
  </si>
  <si>
    <t>EURASIAN JOURNAL OF EDUCATIONAL RESEARCH</t>
  </si>
  <si>
    <t>Dillahunt, TR; Lu, AJ; Velazquez, J</t>
  </si>
  <si>
    <t>Eliciting Alternative Economic Futures with Working-Class Detroiters: Centering Afrofuturism in Speculative Design</t>
  </si>
  <si>
    <t>DESIGNING INTERACTIVE SYSTEMS CONFERENCE, DIS 2023</t>
  </si>
  <si>
    <t>Smith, F; Sadek, M; Mougenot, C</t>
  </si>
  <si>
    <t>Empowering End-users in Co-Designing AI: An AI Literacy Card-Based Toolkit for Non-Technical Audiences</t>
  </si>
  <si>
    <t>36TH ANNUAL BRITISH HCI CONFERENCE</t>
  </si>
  <si>
    <t>Liew, H; Pienkowska, A; Ang, CS; Mahadzir, MDA; Goh, KFI; Lodh, N; Bojic, I; Lawate, A; Ong, QC; Venkataraman, K; Car, J; Ho, AHY</t>
  </si>
  <si>
    <t>Empowering Foot Care Literacy Among People Living With Diabetes and Their Carers With an mHealth App: Protocol for a Feasibility Study</t>
  </si>
  <si>
    <t>JMIR RESEARCH PROTOCOLS</t>
  </si>
  <si>
    <t>Archambault, SG</t>
  </si>
  <si>
    <t>Expanding on the Frames: Making a Case for Algorithmic Literacy</t>
  </si>
  <si>
    <t>COMMUNICATIONS IN INFORMATION LITERACY</t>
  </si>
  <si>
    <t>Kim, K; Kwon, K</t>
  </si>
  <si>
    <t>Exploring the AI competencies of elementary school teachers in South Korea</t>
  </si>
  <si>
    <t>COMPUTERS AND EDUCATION: ARTIFICIAL INTELLIGENCE</t>
  </si>
  <si>
    <t>Rismanchian, S; Doroudi, S</t>
  </si>
  <si>
    <t>Four Interactions Between AI and Education: Broadening Our Perspective on What AI Can Offer Education</t>
  </si>
  <si>
    <t>ARTIFICIAL INTELLIGENCE IN EDUCATION. POSTERS AND LATE BREAKING RESULTS, WORKSHOPS AND TUTORIALS, INDUSTRY AND INNOVATION TRACKS, PRACTITIONERS, DOCTORAL CONSORTIUM AND BLUE SKY, AIED 2023</t>
  </si>
  <si>
    <t>Kim, Y; Lee, DW; Liang, PP; Alghowinem, S; Breazeal, C; Park, HW</t>
  </si>
  <si>
    <t>HIINT: Historical, Intra- and Inter- personal Dynamics Modeling with Cross-person Memory Transformer</t>
  </si>
  <si>
    <t>PROCEEDINGS OF THE 25TH INTERNATIONAL CONFERENCE ON MULTIMODAL INTERACTION, ICMI 2023</t>
  </si>
  <si>
    <t>Tedre, M; Vartiainen, H</t>
  </si>
  <si>
    <t>K-12 Computing Education for the AI Era: From Data Literacy to Data Agency</t>
  </si>
  <si>
    <t>PROCEEDINGS OF THE 2023 CONFERENCE ON INNOVATION AND TECHNOLOGY IN COMPUTER SCIENCE EDUCATION, ITICSE 2023, VOL 1</t>
  </si>
  <si>
    <t>Alok, AB; Sakib, H; Ullah, SA; Huq, F; Ghosh, R; Mondal, JJ; Sakif, MSI; Noor, J</t>
  </si>
  <si>
    <t>'Khep': Exploring Factors that Influence The Preference of Contractual Rides to Ride-Sharing Apps in Bangladesh</t>
  </si>
  <si>
    <t>PROCEEDINGS OF THE ACM SIGCAS/SIGCHI CONFERENCE ON COMPUTING AND SUSTAINABLE SOCIETIES 2023,COMPASS 2023</t>
  </si>
  <si>
    <t>Joseph, S</t>
  </si>
  <si>
    <t>Large Language Model-based Tools in Language Teaching to Develop Critical Thinking and Sustainable Cognitive Structures</t>
  </si>
  <si>
    <t>RUPKATHA JOURNAL ON INTERDISCIPLINARY STUDIES IN HUMANITIES</t>
  </si>
  <si>
    <t>Triebus, C; Geiger, C</t>
  </si>
  <si>
    <t>Precious Camouflage - A Dance Performance Interweaving Human Movement and Artificial Intelligence Artistic Research for Exploring the Communication Between Dancers and AI</t>
  </si>
  <si>
    <t>PROCEEDINGS OF THE 11TH INTERNATIONAL CONFERENCE ON DIGITAL AND INTERACTIVE ARTS, ARTECH 2023</t>
  </si>
  <si>
    <t>Morch, AI; Andersen, R</t>
  </si>
  <si>
    <t>Programming with Minecraft Bedrock Up: Modeling, Coding, and Computational Concepts</t>
  </si>
  <si>
    <t>END-USER DEVELOPMENT, IS-EUD 2023</t>
  </si>
  <si>
    <t>Panagoulias, DP; Virvou, M; Tsihrintzis, GA</t>
  </si>
  <si>
    <t>Tailored Explainability in Medical Artificial Intelligence-empowered Applications: Personalisation via the Technology Acceptance Model</t>
  </si>
  <si>
    <t>2023 IEEE 35TH INTERNATIONAL CONFERENCE ON TOOLS WITH ARTIFICIAL INTELLIGENCE, ICTAI</t>
  </si>
  <si>
    <t>Morris, ME; Brusco, NK; Jones, J; Taylor, NF; East, CE; Semciw, AI; Edvardsson, K; Thwaites, C; Bourke, SL; Khan, UR; Fowler-Davis, S; Oldenburg, B</t>
  </si>
  <si>
    <t>The Widening Gap between the Digital Capability of the Care Workforce and Technology-Enabled Healthcare Delivery: A Nursing and Allied Health Analysis</t>
  </si>
  <si>
    <t>HEALTHCARE</t>
  </si>
  <si>
    <t>Muslimin, AI; Mukminatien, N; Ivone, FM</t>
  </si>
  <si>
    <t>TPACK-SAMR digital literacy competence, technostress, and teaching performance: Correlational study among EFL lecturers</t>
  </si>
  <si>
    <t>CONTEMPORARY EDUCATIONAL TECHNOLOGY</t>
  </si>
  <si>
    <t>Casal-Otero, L; Catala, A; Fernandez-Morante, C; Taboada, M; Cebreiro, B; Barro, S</t>
  </si>
  <si>
    <t>AI literacy in K-12: a systematic literature review</t>
  </si>
  <si>
    <t>INTERNATIONAL JOURNAL OF STEM EDUCATION</t>
  </si>
  <si>
    <t>Porlezza, C</t>
  </si>
  <si>
    <t>Promoting responsible AI: A European perspective on the governance of artificial intelligence in media and journalism</t>
  </si>
  <si>
    <t>COMMUNICATIONS-EUROPEAN JOURNAL OF COMMUNICATION RESEARCH</t>
  </si>
  <si>
    <t>Chiang, FK; Liang, XN; Xiao, XZY; Jiang, ZJ; Zhou, Y</t>
  </si>
  <si>
    <t>Design-Based Research on the Development and Implementation of AI Courses from the Perspective of University-Enterprise Cooperation</t>
  </si>
  <si>
    <t>FRONTIERS OF EDUCATION IN CHINA</t>
  </si>
  <si>
    <t>Stovpets, O; Borinshtein, Y; Yershova-Babenko, I; Kozobrodova, D; Madi, H; Honcharova, O</t>
  </si>
  <si>
    <t>Digital technologies and human rights: challenges and opportunities</t>
  </si>
  <si>
    <t>AMAZONIA INVESTIGA</t>
  </si>
  <si>
    <t>Alm, A; Watanabe, Y</t>
  </si>
  <si>
    <t>Integrating ChatGPT in Language Education: A Freirean Perspective</t>
  </si>
  <si>
    <t>IRANIAN JOURNAL OF LANGUAGE TEACHING RESEARCH</t>
  </si>
  <si>
    <t>Dlimbetova, GK; Abenova, SU; Sadykova, SS; Primbetova, AI</t>
  </si>
  <si>
    <t>Integrating Sustainability into Education: An Exploration of the 'Green School - Green College - Green University' Approach</t>
  </si>
  <si>
    <t>EUROPEAN JOURNAL OF CONTEMPORARY EDUCATION</t>
  </si>
  <si>
    <t>Kucirkova, N; Rodriguez-Leon, L</t>
  </si>
  <si>
    <t>Multisensory Reading in Early Childhood: Systematic Review with Theoretical Guidance for Human Development Studies</t>
  </si>
  <si>
    <t>HUMAN DEVELOPMENT</t>
  </si>
  <si>
    <t>Song, Y; Puerta, JB; Medina-Aedo, M; Canelo-Aybar, C; Valli, C; Ballester, M; Rocha, C; Garcia, ML; Salas-Gama, K; Kaloteraki, C; Santero, M; de Guzmán, EN; Spoiala, C; Gurung, P; Willemen, F; Cools, I; Bleeker, J; Poortvliet, R; Laure, T; van der Gaag, M; Pacheco-Barrios, K; Zafra-Tanaka, J; Mavridis, D; Veroniki, AA; Zevgiti, S; Seitidis, G; Alonso-Coello, P; Groene, O; González-González, AI; Sunol, R; Orrego, C; Heijmans, M</t>
  </si>
  <si>
    <t>Self-Management Interventions for Adults Living with Type II Diabetes to Improve Patient-Important Outcomes: An Evidence Map</t>
  </si>
  <si>
    <t>Alam, A; Mohanty, A</t>
  </si>
  <si>
    <t>Educational technology: Exploring the convergence of technology and pedagogy through mobility, interactivity, AI, and learning tools</t>
  </si>
  <si>
    <t>COGENT ENGINEERING</t>
  </si>
  <si>
    <t>Iqbal, A; Knaggs, R; Anderson, C; Toh, LS</t>
  </si>
  <si>
    <t>Logic model for opioid safety in chronic non-malignant pain management, an in-depth qualitative study</t>
  </si>
  <si>
    <t>INTERNATIONAL JOURNAL OF CLINICAL PHARMACY</t>
  </si>
  <si>
    <t>Ng, DTK; Leung, JKL; Su, JH; Ng, RCW; Chu, SKW</t>
  </si>
  <si>
    <t>Teachers' AI digital competencies and twenty-first century skills in the post-pandemic world</t>
  </si>
  <si>
    <t>ETR&amp;D-EDUCATIONAL TECHNOLOGY RESEARCH AND DEVELOPMENT</t>
  </si>
  <si>
    <t>Atenas, J; Havemann, L; Timmermann, C</t>
  </si>
  <si>
    <t>Reframing data ethics in research methods education: a pathway to critical data literacy</t>
  </si>
  <si>
    <t>INTERNATIONAL JOURNAL OF EDUCATIONAL TECHNOLOGY IN HIGHER EDUCATION</t>
  </si>
  <si>
    <t>dos Santos, AI; Chinkes, E; Carvalho, MAG; Solórzano, CMV; Marroni, LS</t>
  </si>
  <si>
    <t>The digital competence of academics in higher education: is the glass half empty or half full?</t>
  </si>
  <si>
    <t>Kong, SC; Cheung, WMY; Zhang, G</t>
  </si>
  <si>
    <t>EDUCATIONAL TECHNOLOGY &amp; SOCIETY</t>
  </si>
  <si>
    <t>Flores-Vivar, JM; García-Peñalvo, FJ</t>
  </si>
  <si>
    <t>COMUNICAR</t>
  </si>
  <si>
    <t>Viamonte, SG; Joaquim, AV; Alves, A; Vilela, E; Capela, A; Ferreira, C; Duarte, B; Rato, ND; Tavares, AI; Santos, M; Ribeiro, F</t>
  </si>
  <si>
    <t>Impact of a COmprehensive cardiac REhabilitation framework among high cardiovascular risk cancer survivors: Protocol for the CORE trial</t>
  </si>
  <si>
    <t>INTERNATIONAL JOURNAL OF CARDIOLOGY</t>
  </si>
  <si>
    <t>Lin, XD; Mao, XH; Ai, FZ; Yao, WG</t>
  </si>
  <si>
    <t>Factors influencing utilization of communicable disease prevention and treatment education among the floating population: a cross-sectional study in China</t>
  </si>
  <si>
    <t>BMC PUBLIC HEALTH</t>
  </si>
  <si>
    <t>Wilhelm, E; Ballalai, I; Belanger, ME; Benjamin, P; Bertrand-Ferrandis, C; Bezbaruah, S; Briand, S; Brooks, I; Bruns, R; Bucci, LM; Calleja, N; Chiou, H; Devaria, A; Dini, L; D'Souza, H; Dunn, AG; Eichstaedt, JC; Evers, SMAA; Gobat, N; Gissler, M; Gonzales, IC; Gruzd, A; Hess, S; Ishizumi, A; John, O; Joshi, A; Kaluza, B; Khamis, N; Kosinska, M; Kulkarni, S; Lingri, D; Ludolph, R; Mackey, T; Mandic-Rajcevic, S; Menczer, F; Mudaliar, V; Murthy, S; Nazakat, S; Nguyen, T; Nilsen, J; Pallari, E; Taschner, NP; Petelos, E; Prinstein, MJ; Roozenbeek, J; Schneider, A; Srinivasan, V; Stevanovic, A; Strahwald, B; Abdul, SS; Machiri, SV; Linden, SV; Voegeli, C; Wardle, C; Wegwarth, O; White, BK; Willie, E; Yau, B; Purnat, T</t>
  </si>
  <si>
    <t>Measuring the Burden of Infodemics: Summary of the Methods and Results of the Fifth WHO Infodemic Management Conference</t>
  </si>
  <si>
    <t>JMIR INFODEMIOLOGY</t>
  </si>
  <si>
    <t>Malik, I; Ahmed, M; Gulzar, Y; Baba, SH; Mir, MS; Soomro, AB; Sultan, A; Elwasila, O</t>
  </si>
  <si>
    <t>Estimation of the Extent of the Vulnerability of Agriculture to Climate Change Using Analytical and Deep-Learning Methods: A Case Study in Jammu, Kashmir, and Ladakh</t>
  </si>
  <si>
    <t>Lo, LS</t>
  </si>
  <si>
    <t>The CLEAR path: A framework for enhancing information literacy through prompt engineering</t>
  </si>
  <si>
    <t>JOURNAL OF ACADEMIC LIBRARIANSHIP</t>
  </si>
  <si>
    <t>Le, LH; Hoang, PA; Pham, HC</t>
  </si>
  <si>
    <t>Sharing health information across online platforms: A systematic review</t>
  </si>
  <si>
    <t>HEALTH COMMUNICATION</t>
  </si>
  <si>
    <t>Muñoz-Basols, J; Neville, C; Lafford, BA; Godev, C</t>
  </si>
  <si>
    <t>Potentialities of Applied Translation for Language Learning in the Era of Artificial Intelligence</t>
  </si>
  <si>
    <t>HISPANIA-A JOURNAL DEVOTED TO THE TEACHING OF SPANISH AND PORTUGUESE</t>
  </si>
  <si>
    <t>Miasso, AI; Castilho, ECD; Fonseca, LMM; Vedana, KGG; Baes, CV; Telles, PCP; Hallak, JEC; Hegadoren, KM</t>
  </si>
  <si>
    <t>Mundo de Polus serious game for people with bipolar disorder</t>
  </si>
  <si>
    <t>BIPOLAR DISORDERS</t>
  </si>
  <si>
    <t>Zhang, LJ; Vignesh, CC; Daniel, JA</t>
  </si>
  <si>
    <t>RETRACTED: Computer-Aided Reading Classes for Enhancement of Critical Thinking Skills Using AI Techniques (Retracted Article)</t>
  </si>
  <si>
    <t>ARABIAN JOURNAL FOR SCIENCE AND ENGINEERING</t>
  </si>
  <si>
    <t>Richards, CE; Tzachor, A; Avin, S; Fenner, R</t>
  </si>
  <si>
    <t>Rewards, risks and responsible deployment of artificial intelligence in water systems</t>
  </si>
  <si>
    <t>NATURE WATER</t>
  </si>
  <si>
    <t>Kabashkin, I; Misnevs, B; Zervina, O</t>
  </si>
  <si>
    <t>Artificial Intelligence in Aviation: New Professionals for New Technologies</t>
  </si>
  <si>
    <t>Farrelly, T; Baker, N</t>
  </si>
  <si>
    <t>Generative Artificial Intelligence: Implications and Considerations for Higher Education Practice</t>
  </si>
  <si>
    <t>EDUCATION SCIENCES</t>
  </si>
  <si>
    <t>Kheirmandparizi, M; Gouin, JP; Bouchaud, CC; Kebbe, M; Bergeron, C; Civi, RM; Rhodes, RE; Farnesi, BC; Bouguila, N; Conklin, AI; Lear, SA; Cohen, TR</t>
  </si>
  <si>
    <t>Perceptions of self-monitoring dietary intake according to a plate-based approach: A qualitative study</t>
  </si>
  <si>
    <t>Castonguay, A; Farthing, P; Davies, S; Vogelsang, L; Kleib, M; Risling, T; Green, N</t>
  </si>
  <si>
    <t>Revolutionizing nursing education through Ai integration: A reflection on the disruptive impact of ChatGPT</t>
  </si>
  <si>
    <t>NURSE EDUCATION TODAY</t>
  </si>
  <si>
    <t>Komasawa, N; Yokohira, M</t>
  </si>
  <si>
    <t>Learner-Centered Experience-Based Medical Education in an AI-Driven Society: A Literature Review</t>
  </si>
  <si>
    <t>CUREUS JOURNAL OF MEDICAL SCIENCE</t>
  </si>
  <si>
    <t>Xi, XM</t>
  </si>
  <si>
    <t>Advancing Language Assessment with AI and ML- Leaning into AI is Inevitable, but Can Theory Keep Up?</t>
  </si>
  <si>
    <t>LANGUAGE ASSESSMENT QUARTERLY</t>
  </si>
  <si>
    <t>Mazarakis, A; Bernhard-Skala, C; Braun, M; Peters, I</t>
  </si>
  <si>
    <t>What is critical for human-centered AI at work? - Toward an interdisciplinary theory</t>
  </si>
  <si>
    <t>FRONTIERS IN ARTIFICIAL INTELLIGENCE</t>
  </si>
  <si>
    <t>Sabatini, J; Graesser, AC; Hollander, J; O'Reilly, T</t>
  </si>
  <si>
    <t>A framework of literacy development and how AI can transform theory and practice</t>
  </si>
  <si>
    <t>Schleiss, J; Laupichler, MC; Raupach, T; Stober, S</t>
  </si>
  <si>
    <t>AI Course Design Planning Framework: Developing Domain-Specific AI Education Courses</t>
  </si>
  <si>
    <t>Celik, I</t>
  </si>
  <si>
    <t>Exploring the Determinants of Artificial Intelligence (AI) Literacy: Digital Divide, Computational Thinking, Cognitive Absorption</t>
  </si>
  <si>
    <t>TELEMATICS AND INFORMATICS</t>
  </si>
  <si>
    <t>Tiernan, P; Costello, E; Donlon, E; Parysz, M; Scriney, M</t>
  </si>
  <si>
    <t>Information and Media Literacy in the Age of AI: Options for the Future</t>
  </si>
  <si>
    <t>Black, NB; George, S; Eguchi, A; Dempsey, JC; Langran, E; Fraga, L; Brunvand, S; Howard, N</t>
  </si>
  <si>
    <t>THIRTY-EIGTH AAAI CONFERENCE ON ARTIFICIAL INTELLIGENCE, VOL 38 NO 21</t>
  </si>
  <si>
    <t>Kong, SC; Yang, Y</t>
  </si>
  <si>
    <t>A Human-Centered Learning and Teaching Framework Using Generative Artificial Intelligence for Self-Regulated Learning Development Through Domain Knowledge Learning in K-12 Settings</t>
  </si>
  <si>
    <t>IEEE TRANSACTIONS ON LEARNING TECHNOLOGIES</t>
  </si>
  <si>
    <t>Haugsbaken, H; Hagelia, M</t>
  </si>
  <si>
    <t>A New AI Literacy For The Algorithmic Age: Prompt Engineering Or Eductional Promptization?</t>
  </si>
  <si>
    <t>2024 4TH INTERNATIONAL CONFERENCE ON APPLIED ARTIFICIAL INTELLIGENCE, ICAPAI</t>
  </si>
  <si>
    <t>Chigwada, J</t>
  </si>
  <si>
    <t>A proposed framework for a digital literacy course for artificial intelligence in academic libraries</t>
  </si>
  <si>
    <t>SOUTH AFRICAN JOURNAL OF LIBRARIES AND INFORMATION SCIENCE</t>
  </si>
  <si>
    <t>Keikhosrokiani, P; Isomursu, M; Uusimaa, J; Kortelainen, J</t>
  </si>
  <si>
    <t>DIGITAL HEALTH</t>
  </si>
  <si>
    <t>Elhashemy, H; Abelson, H; Michaeli, T</t>
  </si>
  <si>
    <t>Adapting Computational Skills for AI Integration</t>
  </si>
  <si>
    <t>2024 36TH INTERNATIONAL CONFERENCE ON SOFTWARE ENGINEERING EDUCATION AND TRAINING, CSEE &amp; T 2024</t>
  </si>
  <si>
    <t>Dunlap, PAB; Michalowski, M</t>
  </si>
  <si>
    <t>Advancing AI Data Ethics in Nursing: Future Directions for Nursing Practice, Research, and Education</t>
  </si>
  <si>
    <t>JMIR NURSING</t>
  </si>
  <si>
    <t>Picasso, F; Atenas, J; Havemann, L; Serbati, A</t>
  </si>
  <si>
    <t>Advancing Critical Data and AI Literacies Through Authentic and Real-World Assessment Design Using a Data Justice Approach</t>
  </si>
  <si>
    <t>OPEN PRAXIS</t>
  </si>
  <si>
    <t>Nasharuddin, NA; Sharef, NM; Omar, MK</t>
  </si>
  <si>
    <t>AI and Data Science Literacy Framework for Educators</t>
  </si>
  <si>
    <t>32ND INTERNATIONAL CONFERENCE ON COMPUTERS IN EDUCATION CONFERENCE PROCEEDINGS, ICCE 2024, VOL I</t>
  </si>
  <si>
    <t>Borasi, R</t>
  </si>
  <si>
    <t>AI Implications for Education and Educators</t>
  </si>
  <si>
    <t>2024 IEEE WESTERN NEW YORK IMAGE AND SIGNAL PROCESSING WORKSHOP, WNYISPW 2024</t>
  </si>
  <si>
    <t>Kathala, KCR; Palakurthi, S</t>
  </si>
  <si>
    <t>AI Literacy Framework and Strategies for Implementation in Developing Nations</t>
  </si>
  <si>
    <t>PROCEEDINGS OF THE 16TH INTERNATIONAL CONFERENCE ON EDUCATION TECHNOLOGY AND COMPUTERS, ICETC 2024</t>
  </si>
  <si>
    <t>Cerny, M</t>
  </si>
  <si>
    <t>Cienfuegos, AD; Lis, P; Zadorozhna, O; Espiritusanto, O; Gawronska-Nowak, B; Zarzycka, A</t>
  </si>
  <si>
    <t>AI: What Do We Fear? What Do We Hope For? Perception of the Societal Impact of AI in a European Transnational Cross-Sectional Study</t>
  </si>
  <si>
    <t>2024 IEEE INTERNATIONAL CONFERENCE ON ENGINEERING, TECHNOLOGY, AND INNOVATION, ICE/ITMC 2024</t>
  </si>
  <si>
    <t>Contreras, MR; Jaimes, JOP</t>
  </si>
  <si>
    <t>2024 IEEE COLOMBIAN CONFERENCE ON APPLICATIONS OF COMPUTATIONAL INTELLIGENCE, COLCAC 2024</t>
  </si>
  <si>
    <t>Gupta, A; Atef, Y; Mills, A; Bali, M</t>
  </si>
  <si>
    <t>Bian, QX; Yan, SY; Ling, XX</t>
  </si>
  <si>
    <t>EDUCATION AS CHANGE</t>
  </si>
  <si>
    <t>Sanka, AI; Wong, J; Liu, C; Hung, P; Cheung, RCC</t>
  </si>
  <si>
    <t>Building a Learner-Centric Citywide Digital Literacy Ecosystem: Train-the-Trainer, Community-Based Learning, and Gifted Education A Guide for Educators, Policymakers, and Stakeholders</t>
  </si>
  <si>
    <t>BLENDED LEARNING: INTELLIGENT COMPUTING IN EDUCATION, ICBL 2024</t>
  </si>
  <si>
    <t>Holdcroft, C</t>
  </si>
  <si>
    <t>Can Generative AI Improve the Standardisation of Student Feedback Across a Business School Faculty?</t>
  </si>
  <si>
    <t>LEARNING TECHNOLOGY FOR EDUCATION CHALLENGES, LTEC 2024</t>
  </si>
  <si>
    <t>Lipovec, A</t>
  </si>
  <si>
    <t>2024 13TH MEDITERRANEAN CONFERENCE ON EMBEDDED COMPUTING, MECO 2024</t>
  </si>
  <si>
    <t>Waszak, PM</t>
  </si>
  <si>
    <t>Chat GPT and suicide prevention-can it work? A conversation analysis</t>
  </si>
  <si>
    <t>PSYCHIATRIA I PSYCHOLOGIA KLINICZNA-JOURNAL OF PSYCHIATRY AND CLINICAL PSYCHOLOGY</t>
  </si>
  <si>
    <t>Yang, HW; Zhang, D; Guo, WT; He, YS</t>
  </si>
  <si>
    <t>Constructing a STEM Projects Design Framework for Middle School AI Courses: Developing Students' AI Literacy as Project Goals</t>
  </si>
  <si>
    <t>IEEE ACCESS</t>
  </si>
  <si>
    <t>Atenas, J; Havemann, L; Nerantzi, C</t>
  </si>
  <si>
    <t>Critical and creative pedagogies for artificial intelligence and data literacy: an epistemic data justice approach for academic practice</t>
  </si>
  <si>
    <t>RESEARCH IN LEARNING TECHNOLOGY</t>
  </si>
  <si>
    <t>Vajpayee, P; Hossain, G</t>
  </si>
  <si>
    <t>Cybersecurity Education in High School: Exploring Cyber Assets, Cyber Value at Risk, and Authentic Assessment</t>
  </si>
  <si>
    <t>2024 IEEE FRONTIERS IN EDUCATION CONFERENCE, FIE</t>
  </si>
  <si>
    <t>Anwar, NABK; Shuib, NABM; Danuri, MSNB; Shuib, NLBM</t>
  </si>
  <si>
    <t>DIGITAL SKILL ASSESSMENTS: PRE &amp; POST COVID</t>
  </si>
  <si>
    <t>MALAYSIAN JOURNAL OF COMPUTER SCIENCE</t>
  </si>
  <si>
    <t>Spyropoulou, N; Tsitou, S; Vonitsanos, G; Kalantzi, R; Kameas, A</t>
  </si>
  <si>
    <t>Digital Transformation in Adult Education: Empowering Educators to use DigComp with a MOOC</t>
  </si>
  <si>
    <t>Brandtner, P</t>
  </si>
  <si>
    <t>Digital Transformation of Supply Chain Management - Challenges and Strategies for Successfully Implementing Data Analytics in Practice</t>
  </si>
  <si>
    <t>2024 8TH INTERNATIONAL CONFERENCE ON E-COMMERCE, E-BUSINESS, AND E-GOVERNMENT, ICEEG 2024</t>
  </si>
  <si>
    <t>Velander, J; Otero, N; Dobslaw, F; Milrad, M</t>
  </si>
  <si>
    <t>METHODOLOGIES AND INTELLIGENT SYSTEMS FOR TECHNOLOGY ENHANCED LEARNING, 14TH INTERNATIONAL CONFERENCE</t>
  </si>
  <si>
    <t>Malaborbor, RAC; Rivera, VS; Diloy, MA; De Luna, LR; Dela Cruz, ALY; Velasco, AT</t>
  </si>
  <si>
    <t>Enhancing Data Privacy Literacy through Conversational AI: A QandA-Based Approach to Educating Users on the Provisions of the Data Privacy Act of 2012</t>
  </si>
  <si>
    <t>8TH INTERNATIONAL CONFERENCE ON DIGITAL TECHNOLOGY IN EDUCATION, ICDTE 2024</t>
  </si>
  <si>
    <t>Li, XM; Xia, L; He, ZM; Wu, PF; Chen, DY; Fan, L</t>
  </si>
  <si>
    <t>Enhancing Interior Design Education Through the Integration of AIGC Tools: A Novel Creator-Thon Approach</t>
  </si>
  <si>
    <t>Li, XH; Ding, CY; Zhu, YD; Wang, HB; Qin, B; Li, Y</t>
  </si>
  <si>
    <t>PROCEEDINGS OF 2024 8TH INTERNATIONAL CONFERENCE ON COMPUTER SCIENCE AND ARTIFICIAL INTELLIGENCE, CSAI 2024</t>
  </si>
  <si>
    <t>Meakin, L</t>
  </si>
  <si>
    <t>Exploring the Impact of Generative Artificial Intelligence on Higher Education Students' Utilization of Library Resources A Critical Examination</t>
  </si>
  <si>
    <t>INFORMATION TECHNOLOGY AND LIBRARIES</t>
  </si>
  <si>
    <t>Voulgaris, I; Lavidas, K; Aravantinos, S; Sypsa, S; Sfyroera, M</t>
  </si>
  <si>
    <t>Exploring the Role, Implementation, and Educational Implications of AI in Early Childhood Education</t>
  </si>
  <si>
    <t>ARTIFICIAL INTELLIGENCE IN EDUCATION: POSTERS AND LATE BREAKING RESULTS, WORKSHOPS AND TUTORIALS, INDUSTRY AND INNOVATION TRACKS, PRACTITIONERS, DOCTORAL CONSORTIUM AND BLUE SKY, AIED 2024</t>
  </si>
  <si>
    <t>Hügle, J; Michaeli, T; Seegerer, S</t>
  </si>
  <si>
    <t>Exploring the World of AI: Experiences from a MOOC on Artificial Intelligence for a Broad Audience</t>
  </si>
  <si>
    <t>2024 IEEE 3RD GERMAN EDUCATION CONFERENCE, GECON 2024</t>
  </si>
  <si>
    <t>Tauchnitz, E; Ahmed, S</t>
  </si>
  <si>
    <t>Framing Ethical e-Governance: A Plaidoyer for a Human-Rights based Digital Democracy Approach</t>
  </si>
  <si>
    <t>PROCEEDINGS OF THE 17TH INTERNATIONAL CONFERENCE ON THEORY AND PRACTICE OF ELECTRONIC GOVERNANCE, ICEGOV 2024</t>
  </si>
  <si>
    <t>Taiye, MA; High, C; Velander, J; Matar, K; Okmanis, R; Milrad, M</t>
  </si>
  <si>
    <t>Generative AI-Enhanced Academic Writing: A Stakeholder-Centric Approach for the Design and Development of CHAT4ISP-AI</t>
  </si>
  <si>
    <t>39TH ANNUAL ACM SYMPOSIUM ON APPLIED COMPUTING, SAC 2024</t>
  </si>
  <si>
    <t>Penabad-Camacho, L; Morera-Castro, M; Penabad-Camacho, MA</t>
  </si>
  <si>
    <t>Guide for the use and reporting of Artificial Intelligence in scientific-academic journals</t>
  </si>
  <si>
    <t>REVISTA ELECTRONICA EDUCARE</t>
  </si>
  <si>
    <t>Guide for the use and Reporting of Artificial Intelligence in Scientific-Academic Journals</t>
  </si>
  <si>
    <t>Guidelines for the use and reporting of Artificial Intelligence in scientific-academic journals</t>
  </si>
  <si>
    <t>Rosunally, YZ</t>
  </si>
  <si>
    <t>2024 21ST INTERNATIONAL CONFERENCE ON INFORMATION TECHNOLOGY BASED HIGHER EDUCATION AND TRAINING, ITHET</t>
  </si>
  <si>
    <t>Pestana, G; Ferreira, N; José, H</t>
  </si>
  <si>
    <t>Health-Literacy and Social Awareness-Contributions from Digital Wellness</t>
  </si>
  <si>
    <t>PROCEEDINGS OF NINTH INTERNATIONAL CONGRESS ON INFORMATION AND COMMUNICATION TECHNOLOGY, ICICT 2024, VOL 7</t>
  </si>
  <si>
    <t>Levy-Nadav, L; Shamir-Inbal, T; Blau, I</t>
  </si>
  <si>
    <t>Integrating Generative Artificial Intelligence Tools to Develop Digital Competences in Secondary Schools</t>
  </si>
  <si>
    <t>TECHNOLOGY ENHANCED LEARNING FOR INCLUSIVE AND EQUITABLE QUALITY EDUCATION, PT II, EC-TEL 2024</t>
  </si>
  <si>
    <t>Meng, N</t>
  </si>
  <si>
    <t>Integration of Big Data and AI in Educational Leadership Practices: Opportunities and Challenges</t>
  </si>
  <si>
    <t>Moreno-León, J; Vasco-González, M; Román-González, M; Robles, G</t>
  </si>
  <si>
    <t>PROCEEDINGS OF THE 19TH WIPSCE CONFERENCE IN PRIMARY AND SECONDARY COMPUTING EDUCATION RESEARCH, WIPSCE 2024</t>
  </si>
  <si>
    <t>Penner, RV</t>
  </si>
  <si>
    <t>Large Language Models: А Socio-Philosophical Essay</t>
  </si>
  <si>
    <t>GALACTICA MEDIA-JOURNAL OF MEDIA STUDIES - GALAKTIKA MEDIA-ZHURNAL MEDIA ISSLEDOVANIJ</t>
  </si>
  <si>
    <t>Cao, CC; Chen, E; Fang, Z; Cao, LY; Lin, JH; Li, RZ</t>
  </si>
  <si>
    <t>Rai, S; Shapsough, S; Zualkernan, I</t>
  </si>
  <si>
    <t>Measuring Fluency, Coherency and Logicality of GPT-4 Generated EGRA Comprehension Stories</t>
  </si>
  <si>
    <t>2024 IEEE INTERNATIONAL CONFERENCE ON ADVANCED LEARNING TECHNOLOGIES, ICALT 2024</t>
  </si>
  <si>
    <t>Bhatnagar, JR; Agarwal, S; Bhatnagar, TK; Chandra, H; Aggarwal, A</t>
  </si>
  <si>
    <t>On Enhancing Usability of Hindi ATM Banking with Multi-Modal UI and Explainable UX</t>
  </si>
  <si>
    <t>2024 2ND WORLD CONFERENCE ON COMMUNICATION &amp; COMPUTING, WCONF 2024</t>
  </si>
  <si>
    <t>Zhang, L; Lin, JH; Borchers, C; Sabatini, J; Hollander, J; Cao, M; Hu, XG</t>
  </si>
  <si>
    <t>Predicting Learning Performance with Large Language Models: A Study in Adult Literacy</t>
  </si>
  <si>
    <t>ADAPTIVE INSTRUCTIONAL SYSTEMS, AIS 2024</t>
  </si>
  <si>
    <t>Smits, A; Bartels, E; Detweiler, C; van Turnhout, K</t>
  </si>
  <si>
    <t>Results of the Workshop on Algorithmic Affordances in Recommender Interfaces</t>
  </si>
  <si>
    <t>DESIGN FOR EQUALITY AND JUSTICE, INTERACT 2023, PT II</t>
  </si>
  <si>
    <t>Kathala, KCR; Arroyo, I; Mannuru, NR</t>
  </si>
  <si>
    <t>Role of Ethical and Responsible AI in Education for Next Generation Inventors</t>
  </si>
  <si>
    <t>Kulothungan, V</t>
  </si>
  <si>
    <t>Securing the AI Frontier: Urgent Ethical and Regulatory Imperatives for AI-Driven Cybersecurity</t>
  </si>
  <si>
    <t>2024 IEEE INTERNATIONAL CONFERENCE ON BIG DATA, BIGDATA</t>
  </si>
  <si>
    <t>Somers, C; Feenan, D; Fitzgerald, D; Henriques, R; Martignoni, M; Parletta, DA; Cibin, E; Chis, AE; González-Vélez, H</t>
  </si>
  <si>
    <t>Systematic Needs Analysis of Advanced Digital Skills for Postgraduate Computing Education: The DIGITAL4Business Case</t>
  </si>
  <si>
    <t>ARTIFICIAL INTELLIGENCE IN EDUCATION: POSTERS AND LATE BREAKING RESULTS, WORKSHOPS AND TUTORIALS, INDUSTRY AND INNOVATION TRACKS, PRACTITIONERS, DOCTORAL CONSORTIUM AND BLUE SKY, AIED 2024, PT I</t>
  </si>
  <si>
    <t>Bozkurt, A</t>
  </si>
  <si>
    <t>Tell Me Your Prompts and I Will Make Them True: The Alchemy of Prompt Engineering and Generative AI</t>
  </si>
  <si>
    <t>Ma, SA; Chen, ZZ</t>
  </si>
  <si>
    <t>Wolfe, R; Mitra, T</t>
  </si>
  <si>
    <t>The Impact and Opportunities of Generative AI in Fact-Checking</t>
  </si>
  <si>
    <t>PROCEEDINGS OF THE 2024 ACM CONFERENCE ON FAIRNESS, ACCOUNTABILITY, AND TRANSPARENCY, ACM FACCT 2024</t>
  </si>
  <si>
    <t>Tenetz, A</t>
  </si>
  <si>
    <t>The Jump into the Void</t>
  </si>
  <si>
    <t>SELECTED PROCEEDINGS OF THE 6TH SPACE RESOURCES CONFERENCE, KGK 2023</t>
  </si>
  <si>
    <t>Garnier, M; Cussac, M; Delaune, C; Espy, C; Papon-Vidal, L</t>
  </si>
  <si>
    <t>The Pivotal Role of Libraries in Sustainable AI Development</t>
  </si>
  <si>
    <t>CANADIAN JOURNAL OF INFORMATION AND LIBRARY SCIENCE-REVUE CANADIENNE DES SCIENCES DE L INFORMATION ET DE BIBLIOTHECONOMIE</t>
  </si>
  <si>
    <t>Strachan, R; Oguna, C; Oruche, U</t>
  </si>
  <si>
    <t>The Postgraduate Student Perspective on Academic Misconduct in the Era of Essay Mills and Generative AI: A Case Study from Northeast England</t>
  </si>
  <si>
    <t>2024 IEEE GLOBAL ENGINEERING EDUCATION CONFERENCE, EDUCON 2024</t>
  </si>
  <si>
    <t>Kharrufa, A; Johnson, IG</t>
  </si>
  <si>
    <t>The Potential and Implications of Generative AI on HCI Education</t>
  </si>
  <si>
    <t>PROCEEDINGS OF THE 6TH EDUCHI SYMPOSIUM ON HCI EDUCATION, EDUCHI 2024</t>
  </si>
  <si>
    <t>Debeij, SM; Aardoom, JJ; Haaksma, ML; Stoop, WAM; van Isselt, EFV; Kasteleyn, MJ</t>
  </si>
  <si>
    <t>The Potential Use and Value of a Wearable Monitoring Bracelet for Patients With Chronic Obstructive Pulmonary Disease: Qualitative Study Investigating the Patient and Health Care Professional Perspectives</t>
  </si>
  <si>
    <t>JMIR FORMATIVE RESEARCH</t>
  </si>
  <si>
    <t>Preiksaitis, C; Ashenburg, N; Bunney, G; Chu, AD; Kabeer, R; Riley, F; Ribeira, R; Rose, C</t>
  </si>
  <si>
    <t>The Role of Large Language Models in Transforming Emergency Medicine: Scoping Review</t>
  </si>
  <si>
    <t>JMIR MEDICAL INFORMATICS</t>
  </si>
  <si>
    <t>Barber, GL; Grehan, L; Dunne, J; Davis, B; Qadeer, H</t>
  </si>
  <si>
    <t>Towards an educational framework for integrating AI education into second-level education in Ireland</t>
  </si>
  <si>
    <t>PROCEEDINGS OF THE 2024 CONFERENCE ON HUMAN CENTERED ARTIFICIAL INTELLIGENCE-EDUCATION AND PRACTICE, HCAI-EP 2024</t>
  </si>
  <si>
    <t>Shuaib, A</t>
  </si>
  <si>
    <t>Transforming Healthcare with AI: Promises, Pitfalls, and Pathways Forward</t>
  </si>
  <si>
    <t>INTERNATIONAL JOURNAL OF GENERAL MEDICINE</t>
  </si>
  <si>
    <t>Kujundziski, AP; Domazet, E; Kamberaj, H; Rahmani, D; Feta, AA; Valverde, FL; Rojas, SG; Petlenkov, E; Vassiljeva, K; Stajduhar, I; Hagen, T; Gradisek, A; Zidansek, A</t>
  </si>
  <si>
    <t>Transversal skills in applied Artificial Intelligence - the case of the financial sector</t>
  </si>
  <si>
    <t>E-MENTOR</t>
  </si>
  <si>
    <t>Lepik, K</t>
  </si>
  <si>
    <t>Trust, but Verify: Students' Reflections on Using Artificial Intelligence in Written Assignments</t>
  </si>
  <si>
    <t>INFORMATION EXPERIENCE AND INFORMATION LITERACY, PT I, ECIL 2023</t>
  </si>
  <si>
    <t>Franco, S; Ballatore, MG; Bernardini, S; Como, G; Damonte, L; Neacsu, A; Vanelli, M</t>
  </si>
  <si>
    <t>2024 IEEE GAMING, ENTERTAINMENT, AND MEDIA CONFERENCE, GEM 2024</t>
  </si>
  <si>
    <t>Why Generative AI Literacy, Why Now and Why it Matters in the Educational Landscape? Kings, Queens and GenAI Dragons</t>
  </si>
  <si>
    <t>Quan, S; Du, Y; Ding, Y</t>
  </si>
  <si>
    <t>Young Children and ChatGPT: Parents' Use of ChatGPT in Parenting</t>
  </si>
  <si>
    <t>EXTENDED ABSTRACTS OF THE 2024 CHI CONFERENCE ON HUMAN FACTORS IN COMPUTING SYSTEMS, CHI 2024</t>
  </si>
  <si>
    <t>Singh, E; Vasishta, P; Singla, A</t>
  </si>
  <si>
    <t>AI-enhanced education: exploring the impact of AI literacy on generation Z's academic performance in Northern India</t>
  </si>
  <si>
    <t>QUALITY ASSURANCE IN EDUCATION</t>
  </si>
  <si>
    <t>Gonsalves, C</t>
  </si>
  <si>
    <t>Generative AI's Impact on Critical Thinking: Revisiting Bloom's Taxonomy</t>
  </si>
  <si>
    <t>JOURNAL OF MARKETING EDUCATION</t>
  </si>
  <si>
    <t>Liu, CN; Xiang, L; Yi, L</t>
  </si>
  <si>
    <t>Impact of immersion experience on encountering information adoption: experimental evidence from AI virtual live streaming under the algorithmic recommendation</t>
  </si>
  <si>
    <t>LIBRARY HI TECH</t>
  </si>
  <si>
    <t>Orwig, ML; Strong, J; Kurtenbach, B</t>
  </si>
  <si>
    <t>Preparing Students for Communicating in Business: A Framework for Informing Literacy Practices</t>
  </si>
  <si>
    <t>BUSINESS AND PROFESSIONAL COMMUNICATION QUARTERLY</t>
  </si>
  <si>
    <t>Zeng, AL; Houssami, N; Noguchi, N; Nickel, B; Marinovich, ML</t>
  </si>
  <si>
    <t>Frequency and characteristics of errors by artificial intelligence (AI) in reading screening mammography: a systematic review</t>
  </si>
  <si>
    <t>BREAST CANCER RESEARCH AND TREATMENT</t>
  </si>
  <si>
    <t>Lao, YC; You, YK</t>
  </si>
  <si>
    <t>Unraveling generative AI in BBC News: application, impact, literacy and governance</t>
  </si>
  <si>
    <t>TRANSFORMING GOVERNMENT- PEOPLE PROCESS AND POLICY</t>
  </si>
  <si>
    <t>Pashaie, S; Mohammadi, S; Golmohammadi, H</t>
  </si>
  <si>
    <t>Unlocking athlete potential: The evolution of coaching strategies through artificial intelligence</t>
  </si>
  <si>
    <t>PROCEEDINGS OF THE INSTITUTION OF MECHANICAL ENGINEERS PART P-JOURNAL OF SPORTS ENGINEERING AND TECHNOLOGY</t>
  </si>
  <si>
    <t>Vasan, S; Rao, AA; Priya, SS; Gupta, N</t>
  </si>
  <si>
    <t>Paid, Owned and Earned Media Research: A Mixed Review, Reflections and Agendas for Future Research</t>
  </si>
  <si>
    <t>FIIB BUSINESS REVIEW</t>
  </si>
  <si>
    <t>Marco-Ruiz, L; Hernández, MAT; Ngo, PD; Makhlysheva, A; Svenning, TO; Dyb, K; Chomutare, T; Llatas, CF; Muñoz-Gama, J; Tayefi, M</t>
  </si>
  <si>
    <t>A multinational study on artificial intelligence adoption: Clinical implementers' perspectives</t>
  </si>
  <si>
    <t>INTERNATIONAL JOURNAL OF MEDICAL INFORMATICS</t>
  </si>
  <si>
    <t>Caudill, CM; Pulsifer, PL; Thumbadoo, RV; Taylor, DRF</t>
  </si>
  <si>
    <t>Meeting the Challenges of the UN Sustainable Development Goals through Holistic Systems Thinking and Applied Geospatial Ethics</t>
  </si>
  <si>
    <t>ISPRS INTERNATIONAL JOURNAL OF GEO-INFORMATION</t>
  </si>
  <si>
    <t>Nguyen, D; Hekman, E</t>
  </si>
  <si>
    <t>The news framing of artificial intelligence: a critical exploration of how media discourses make sense of automation</t>
  </si>
  <si>
    <t>AI &amp; SOCIETY</t>
  </si>
  <si>
    <t>Fakhar, H; Lamrabet, M; Echantoufi, N; El Khattabi, K; Ajana, L</t>
  </si>
  <si>
    <t>Towards a New Artificial Intelligence-based Framework for Teachers' Online Continuous Professional Development Programs: Systematic Review</t>
  </si>
  <si>
    <t>INTERNATIONAL JOURNAL OF ADVANCED COMPUTER SCIENCE AND APPLICATIONS</t>
  </si>
  <si>
    <t>McDowell, ZJ</t>
  </si>
  <si>
    <t>Wikipedia and AI: Access, representation, and advocacy in the age of large language models</t>
  </si>
  <si>
    <t>CONVERGENCE-THE INTERNATIONAL JOURNAL OF RESEARCH INTO NEW MEDIA TECHNOLOGIES</t>
  </si>
  <si>
    <t>Chyl, K; Debska, A; Pokropek, A; Szczerbinski, M; Tanas, LL; Sitek, M</t>
  </si>
  <si>
    <t>Assessment of adults with low literacy skills: a review of methods</t>
  </si>
  <si>
    <t>Thrall, A; Nichols, TP; Magill, KR</t>
  </si>
  <si>
    <t>Speculative frictions: writing civic futures after AI</t>
  </si>
  <si>
    <t>ENGLISH TEACHING-PRACTICE AND CRITIQUE</t>
  </si>
  <si>
    <t>Torres-Castaño, A; Perestelo-Pérez, L; Koatz, D; Ramos-García, V; González-González, AI; Toledo-Chávarri, A; Bermejo-Caja, CJ; Gonzalez-Pacheco, H; Abt-Sack, A; Pacheco-Huergo, V; Orrego, C</t>
  </si>
  <si>
    <t>Healthcare Professionals' Perceptions about the Implementation of Shared Decision-Making in Primary Care: A Qualitative Study from a Virtual Community of Practice</t>
  </si>
  <si>
    <t>INTERNATIONAL JOURNAL OF INTEGRATED CARE</t>
  </si>
  <si>
    <t>Karatas, F; Yüce, E</t>
  </si>
  <si>
    <t>AI and the Future of Teaching: Preservice Teachers' Reflections on the Use of Artificial Intelligence in Open and Distributed Learning</t>
  </si>
  <si>
    <t>INTERNATIONAL REVIEW OF RESEARCH IN OPEN AND DISTRIBUTED LEARNING</t>
  </si>
  <si>
    <t>Lawal, AI; Oseni, E; Ahmed, A; Riyadh, HA; Tabash, MI; Abaver, DT</t>
  </si>
  <si>
    <t>Analysing Rational Bubbles in African Stock Markets: Evidence from Econophysics Frequency Domain Estimates and DCC MGARCH Model</t>
  </si>
  <si>
    <t>ECONOMIES</t>
  </si>
  <si>
    <t>English, NC; Ivankova, NV; Smith, BP; Jones, BA; Herbey, II; Rosamond, B; Kim, DH; Oslock, WM; Schoenberger-Godwin, YMM; Pisu, M; Chu, DI</t>
  </si>
  <si>
    <t>Providers' and survivors' perspectives on the availability and accessibility of surgery in gastrointestinal cancer care</t>
  </si>
  <si>
    <t>JOURNAL OF GASTROINTESTINAL SURGERY</t>
  </si>
  <si>
    <t>Luo, WW; He, HH; Gao, MQ; Li, H</t>
  </si>
  <si>
    <t>Safety, Identity, Attitude, Cognition, and Capability: The 'SIACC' Framework of Early Childhood AI Literacy</t>
  </si>
  <si>
    <t>de la Rosa, W; Bechler, CJ</t>
  </si>
  <si>
    <t>Unveiling the adverse effects of artificial intelligence on financial decisions via the AI-IMPACT model</t>
  </si>
  <si>
    <t>CURRENT OPINION IN PSYCHOLOGY</t>
  </si>
  <si>
    <t>van Esch, P; Cui, YY; Heilgenberg, K</t>
  </si>
  <si>
    <t>Using Artificial Intelligence (AI) to Implement Diversity, Equity and Inclusion (DEI) into Marketing Materials: The 'CONSIDER' Framework</t>
  </si>
  <si>
    <t>AUSTRALASIAN MARKETING JOURNAL</t>
  </si>
  <si>
    <t>EXPERT SYSTEMS WITH APPLICATIONS</t>
  </si>
  <si>
    <t>Stockinger, E; Gallotti, R; Hausladen, CI</t>
  </si>
  <si>
    <t>Early morning hour and evening usage habits increase misinformation-spread</t>
  </si>
  <si>
    <t>SCIENTIFIC REPORTS</t>
  </si>
  <si>
    <t>Chiu, TKF; Moorhouse, BL; Chai, CS; Ismailov, M</t>
  </si>
  <si>
    <t>Teacher support and student motivation to learn with Artificial Intelligence (AI) based chatbot</t>
  </si>
  <si>
    <t>INTERACTIVE LEARNING ENVIRONMENTS</t>
  </si>
  <si>
    <t>Nyale, D; Karume, S; Kipkebut, A</t>
  </si>
  <si>
    <t>A comprehensive analysis of the role of artificial intelligence in aligning tertiary institutions academic programs to the emerging digital enterprise</t>
  </si>
  <si>
    <t>EDUCATION AND INFORMATION TECHNOLOGIES</t>
  </si>
  <si>
    <t>Da Silva, S; Paraboni, A; Matsushita, R</t>
  </si>
  <si>
    <t>Adapting the National Financial Capability Test to Address Generational Differences in Cognitive Biases</t>
  </si>
  <si>
    <t>INTERNATIONAL JOURNAL OF FINANCIAL STUDIES</t>
  </si>
  <si>
    <t>Padua, D</t>
  </si>
  <si>
    <t>Artificial intelligence and Quality Education: The Need for Digital Culture in Teaching</t>
  </si>
  <si>
    <t>JOURNAL OF EDUCATIONAL CULTURAL AND PSYCHOLOGICAL STUDIES</t>
  </si>
  <si>
    <t>Tenberga, I; Daniela, L</t>
  </si>
  <si>
    <t>Artificial Intelligence Literacy Competencies for Teachers Through Self-Assessment Tools</t>
  </si>
  <si>
    <t>Yuan, CW; Tsai, HYS; Chen, YT</t>
  </si>
  <si>
    <t>Charting Competence: A Holistic Scale for Measuring Proficiency in Artificial Intelligence Literacy</t>
  </si>
  <si>
    <t>JOURNAL OF EDUCATIONAL COMPUTING RESEARCH</t>
  </si>
  <si>
    <t>Khan, MSR; Yoshimura, H; Kadoya, Y</t>
  </si>
  <si>
    <t>Emotional Instability and Financial Decisions: How Neuroticism Fuels Panic Selling</t>
  </si>
  <si>
    <t>RISKS</t>
  </si>
  <si>
    <t>Nechesov, A; Ruponen, J</t>
  </si>
  <si>
    <t>Empowering Government Efficiency Through Civic Intelligence: Merging Artificial Intelligence and Blockchain for Smart Citizen Proposals</t>
  </si>
  <si>
    <t>TECHNOLOGIES</t>
  </si>
  <si>
    <t>Kong, SC; Yang, Y; Hou, CY</t>
  </si>
  <si>
    <t>Examining teachers' behavioural intention of using generative artificial intelligence tools for teaching and learning based on the extended technology acceptance model</t>
  </si>
  <si>
    <t>Ma, Q; Crosthwaite, P; Sun, D; Zou, D</t>
  </si>
  <si>
    <t>Exploring ChatGPT literacy in language education: A global perspective and comprehensive approach</t>
  </si>
  <si>
    <t>Mondal, S; Das, S; Vrana, VG</t>
  </si>
  <si>
    <t>Exploring the Role of Artificial Intelligence in Achieving a Net Zero Carbon Economy in Emerging Economies: A Combination of PLS-SEM and fsQCA Approaches to Digital Inclusion and Climate Resilience</t>
  </si>
  <si>
    <t>Lu, RS; Lin, HCK; Yang, YC; Chen, YP</t>
  </si>
  <si>
    <t>Integrating Urban Mining Concepts Through AI-Generated Storytelling and Visuals: Advancing Sustainability Education in Early Childhood</t>
  </si>
  <si>
    <t>Burriss, SK; Hutchins, N; Conley, Z; Deweese, MM; Doe, YJ; Eeds, A; Villanueva, A; Ziegler, H; Oliver, K</t>
  </si>
  <si>
    <t>Redesigning an AI bill of rights with/for young people: Principles for exploring AI ethics with middle and high school students</t>
  </si>
  <si>
    <t>Ranade, N; Saravia, M</t>
  </si>
  <si>
    <t>Teaching AI Ethics in Technical and Professional Communication: A Systematic Review</t>
  </si>
  <si>
    <t>IEEE TRANSACTIONS ON PROFESSIONAL COMMUNICATION</t>
  </si>
  <si>
    <t>Di Rosario, G; Ciastellardi, M</t>
  </si>
  <si>
    <t>The Integration of Artificial Intelligence in Communication Design Case Studies from the Polytechnic of Milan: from Digital Culture to Sociology of Media</t>
  </si>
  <si>
    <t>Jong, M</t>
  </si>
  <si>
    <t>Transforming medical education in the AI era: Balancing technological expertise with humanistic care in tomorrow's doctors</t>
  </si>
  <si>
    <t>ANNALS ACADEMY OF MEDICINE SINGAPORE</t>
  </si>
  <si>
    <t>Wang, XC; Gao, Y; Wang, QK; Zhang, PP</t>
  </si>
  <si>
    <t>Fostering Engagement in AI-Mediate Chinese EFL Classrooms: The Role of Classroom Climate, AI Literacy, and Resilience</t>
  </si>
  <si>
    <t>EUROPEAN JOURNAL OF EDUCATION</t>
  </si>
  <si>
    <t>Elgin, CY; Elgin, C</t>
  </si>
  <si>
    <t>Ethical implications of AI-driven clinical decision support systems on healthcare resource allocation: a qualitative study of healthcare professionals' perspectives</t>
  </si>
  <si>
    <t>BMC MEDICAL ETHICS</t>
  </si>
  <si>
    <t>Chatikobo, MV; Pasipamire, N</t>
  </si>
  <si>
    <t>Readiness to embrace artificial intelligence in information literacy instruction at a Zimbabwean University</t>
  </si>
  <si>
    <t>COGENT EDUCATION</t>
  </si>
  <si>
    <t>Irfan, B</t>
  </si>
  <si>
    <t>Beyond the Scope: Advancing Otolaryngology With Artificial Intelligence Integration</t>
  </si>
  <si>
    <t>Partarakis, N; Zabulis, X</t>
  </si>
  <si>
    <t>A Review of Immersive Technologies, Knowledge Representation, and AI for Human-Centered Digital Experiences</t>
  </si>
  <si>
    <t>ELECTRONICS</t>
  </si>
  <si>
    <t>Boscardin, CK; Gin, B; Golde, PB; Hauer, KE</t>
  </si>
  <si>
    <t>ChatGPT and Generative Artificial Intelligence for Medical Education: Potential Impact and Opportunity</t>
  </si>
  <si>
    <t>Grosseck, G; Bran, RA; Tîru, LG</t>
  </si>
  <si>
    <t>Digital Assessment: A Survey of Romanian Higher Education Teachers' Practices and Needs</t>
  </si>
  <si>
    <t>Hua, DV; Petrina, N; Young, N; Cho, JG; Poon, SK</t>
  </si>
  <si>
    <t>Understanding the factors influencing acceptability of AI in medical imaging domains among healthcare professionals: A scoping review</t>
  </si>
  <si>
    <t>ARTIFICIAL INTELLIGENCE IN MEDICINE</t>
  </si>
  <si>
    <t>Toward a new framework for teaching algorithmic literacy</t>
  </si>
  <si>
    <t>INFORMATION AND LEARNING SCIENCES</t>
  </si>
  <si>
    <t>Ong, JCL; Seng, BJJ; Law, JZF; Low, LL; Kwa, ALH; Giacomini, KM; Ting, DSW</t>
  </si>
  <si>
    <t>Artificial intelligence, ChatGPT, and other large language models for social determinants of health: Current state and future directions</t>
  </si>
  <si>
    <t>CELL REPORTS MEDICINE</t>
  </si>
  <si>
    <t>Luo, WW; He, HH; Liu, J; Berson, IR; Berson, MJ; Zhou, YS; Li, H</t>
  </si>
  <si>
    <t>Aladdin's Genie or Pandora's Box for Early Childhood Education? Experts Chat on the Roles, Challenges, and Developments of ChatGPT</t>
  </si>
  <si>
    <t>EARLY EDUCATION AND DEVELOPMENT</t>
  </si>
  <si>
    <t>Ma, SY; Lei, L</t>
  </si>
  <si>
    <t>ASIA PACIFIC JOURNAL OF EDUCATION</t>
  </si>
  <si>
    <t>Zhang, Z; Li, J; Chen, YS; Chen, FJ; Liu, ZH</t>
  </si>
  <si>
    <t>Mapping the educational Frontier: Unleashing the Potential of artificial intelligence talents through cooperative planning in the Guangdong-Hong Kong-Macao greater bay area</t>
  </si>
  <si>
    <t>HELIYON</t>
  </si>
  <si>
    <t>Ennis-O'Connor, M; O'Connor, WT</t>
  </si>
  <si>
    <t>Charting the future of patient care: A strategic leadership guide to harnessing the potential of artificial intelligence</t>
  </si>
  <si>
    <t>HEALTHCARE MANAGEMENT FORUM</t>
  </si>
  <si>
    <t>Arda, Z; Basarir, L</t>
  </si>
  <si>
    <t>Defending Truth and Democracy in the Age of AI: A Framework for Empowering Voters Against Persuasion and Misinformation with AI Literacy</t>
  </si>
  <si>
    <t>ADCOMUNICA-REVISTA CIENTIFICA DE ESTRATEGIAS TENDENCIAS E INNOVACION EN COMMUNICACION</t>
  </si>
  <si>
    <t>Ding, L; Kim, S; Allday, RA</t>
  </si>
  <si>
    <t>Development of an AI literacy assessment for non-technical individuals: What do teachers know?</t>
  </si>
  <si>
    <t>Adewale, MD; Azeta, A; Abayomi-Alli, A; Sambo-Magaji, A</t>
  </si>
  <si>
    <t>Empirical Investigation of Multilayered Framework for Predicting Academic Performance in Open and Distance Learning</t>
  </si>
  <si>
    <t>Evaluating AI Literacy in Academic Libraries: A Survey Study with a Focus on US Employees</t>
  </si>
  <si>
    <t>COLLEGE &amp; RESEARCH LIBRARIES</t>
  </si>
  <si>
    <t>Hubbard, K</t>
  </si>
  <si>
    <t>Plant biology education: A competency-based vision for the future</t>
  </si>
  <si>
    <t>PLANTS PEOPLE PLANET</t>
  </si>
  <si>
    <t>Al-Zubaidi, SM; Shaikh, GM; Malik, A; Abideen, MZU; Tareen, J; Alzahrani, NSA; Siddiqui, AA</t>
  </si>
  <si>
    <t>Exploring Faculty Preparedness for Artificial Intelligence-Driven Dental Education: A Multicentre Study</t>
  </si>
  <si>
    <t>Lorenzo, JG; González, YM; Rodríguez, AI</t>
  </si>
  <si>
    <t>Quality and use of reliable data in university teaching practice</t>
  </si>
  <si>
    <t>IBERSID-REVISTA DE SISTEMAS DE INFORMACION Y DOCUMENTACION</t>
  </si>
  <si>
    <t>Almatrafi, O; Johri, A; Lee, H</t>
  </si>
  <si>
    <t>A systematic review of AI literacy conceptualization, constructs, and implementation and assessment efforts (2019-2023)</t>
  </si>
  <si>
    <t>COMPUTERS AND EDUCATION OPEN</t>
  </si>
  <si>
    <t>Stolpe, K; Hallström, J</t>
  </si>
  <si>
    <t>Artificial intelligence literacy for technology education</t>
  </si>
  <si>
    <t>Knoth, N; Decker, M; Laupichler, MC; Pinski, M; Buchholtz, N; Bata, K; Schultz, B</t>
  </si>
  <si>
    <t>Developing a holistic AI literacy assessment matrix - Bridging generic, domain-specific, and ethical competencies</t>
  </si>
  <si>
    <t>Ng, DTK; Su, JH; Chu, SKW</t>
  </si>
  <si>
    <t>Fostering Secondary School Students' AI Literacy through Making AI-Driven Recycling Bins</t>
  </si>
  <si>
    <t>Chiu, TKF</t>
  </si>
  <si>
    <t>Future research recommendations for transforming higher education with generative AI</t>
  </si>
  <si>
    <t>Qadhi, SM; Alduais, A; Chaaban, Y; Khraisheh, M</t>
  </si>
  <si>
    <t>Generative AI, Research Ethics, and Higher Education Research: Insights from a Scientometric Analysis</t>
  </si>
  <si>
    <t>Ramlaul, A; Khine, R</t>
  </si>
  <si>
    <t>HOW TO ... Incorporating education for sustainable development within a radiography curriculum: A narrative review</t>
  </si>
  <si>
    <t>RADIOGRAPHY</t>
  </si>
  <si>
    <t>Musi, E; Federico, L; Riotta, G</t>
  </si>
  <si>
    <t>Human-computer interaction tools with gameful design for critical thinking the media ecosystem: a classification framework</t>
  </si>
  <si>
    <t>Yavan, F; Maalek, R; Togan, V</t>
  </si>
  <si>
    <t>Structural Optimization of Trusses in Building Information Modeling (BIM) Projects Using Visual Programming, Evolutionary Algorithms, and Life Cycle Assessment (LCA) Tools</t>
  </si>
  <si>
    <t>BUILDINGS</t>
  </si>
  <si>
    <t>Chiu, TKF; Ahmad, Z; Ismailov, M; Sanusi, IT</t>
  </si>
  <si>
    <t>What are artificial intelligence literacy and competency? A comprehensive framework to support them</t>
  </si>
  <si>
    <t>Trimithiotis, D; Ioannou, I; Vassiliou, V; Christou, P; Chrysostomou, S; Erotokritou, E; Kaizer, D</t>
  </si>
  <si>
    <t>Labservatory: a synergy between journalism studies and computer science for online news observation</t>
  </si>
  <si>
    <t>ONLINE INFORMATION REVIEW</t>
  </si>
  <si>
    <t>Alami, H; Lehoux, P; Papoutsi, C; Shaw, SE; Fleet, R; Fortin, JP</t>
  </si>
  <si>
    <t>Understanding the integration of artificial intelligence in healthcare organisations and systems through the NASSS framework: a qualitative study in a leading Canadian academic centre</t>
  </si>
  <si>
    <t>BMC HEALTH SERVICES RESEARCH</t>
  </si>
  <si>
    <t>Höper, L; Schulte, C</t>
  </si>
  <si>
    <t>The data awareness framework as part of data literacies in K-12 education</t>
  </si>
  <si>
    <t>Velander, J; Taiye, MA; Otero, N; Milrad, M</t>
  </si>
  <si>
    <t>Artificial Intelligence in K-12 Education: eliciting and reflecting on Swedish teachers' understanding of AI and its implications for teaching &amp; learning</t>
  </si>
  <si>
    <t>Allen, LK; Kendeou, P</t>
  </si>
  <si>
    <t>ED-AI Lit: An Interdisciplinary Framework for AI Literacy in Education</t>
  </si>
  <si>
    <t>POLICY INSIGHTS FROM THE BEHAVIORAL AND BRAIN SCIENCES</t>
  </si>
  <si>
    <t>Falloon, G</t>
  </si>
  <si>
    <t>Investigating pedagogical, technological and school factors underpinning effective 'critical thinking curricula' in K-6 education</t>
  </si>
  <si>
    <t>THINKING SKILLS AND CREATIVITY</t>
  </si>
  <si>
    <t>Berman, A; Licht, KD; Carlsson, V</t>
  </si>
  <si>
    <t>Trustworthy AI in the public sector: An empirical analysis of a Swedish labor market decision-support system</t>
  </si>
  <si>
    <t>University Students' Conceptualisation of AI Literacy: Theory and Empirical Evidence</t>
  </si>
  <si>
    <t>SOCIAL SCIENCES-BASEL</t>
  </si>
  <si>
    <t>Johnson, S; Owens, E; Menendez, H; Kim, D</t>
  </si>
  <si>
    <t>Using ChatGPT-generated essays in library instruction</t>
  </si>
  <si>
    <t>Hölgyesi, A; Zrubka, Z; Gulácsi, L; Baji, P; Haidegger, T; Kozlovszky, M; Weszl, M; Kovács, L; Péntek, M</t>
  </si>
  <si>
    <t>Robot-assisted surgery and artificial intelligence-based tumour diagnostics: social preferences with a representative cross-sectional survey</t>
  </si>
  <si>
    <t>BMC MEDICAL INFORMATICS AND DECISION MAKING</t>
  </si>
  <si>
    <t>Alamaeki, A; Nyberg, C; Kimberley, A; Salonen, AO</t>
  </si>
  <si>
    <t>Artificial intelligence literacy in sustainable development: A learning experiment in higher education</t>
  </si>
  <si>
    <t>Ali, R; Connolly, ID; Tang, OY; Mirza, FN; Johnston, B; Abdulrazeq, HF; Galamaga, PF; Libby, TJ; Sodha, NR; Groff, MW; Gokaslan, ZL; Telfeian, AE; Shin, JH; Asaad, WF; Zou, JM; Doberstein, CE</t>
  </si>
  <si>
    <t>Bridging the literacy gap for surgical consents: an AI-human expert collaborative approach</t>
  </si>
  <si>
    <t>NPJ DIGITAL MEDICINE</t>
  </si>
  <si>
    <t>Hu, YH; Hsieh, CL; Salac, ESN</t>
  </si>
  <si>
    <t>Esmaeilzadeh, P</t>
  </si>
  <si>
    <t>Challenges and strategies for wide-scale artificial intelligence (AI) deployment in healthcare practices: A perspective for healthcare organizations</t>
  </si>
  <si>
    <t>Ng, DTK; Wu, WJ; Leung, JKL; Chiu, TKF; Chu, SKW</t>
  </si>
  <si>
    <t>Design and validation of the AI literacy questionnaire: The affective, behavioural, cognitive and ethical approach</t>
  </si>
  <si>
    <t>Nong, PG; Hamasha, R; Platt, J</t>
  </si>
  <si>
    <t>Equity and AI Governance at Academic Medical Centers</t>
  </si>
  <si>
    <t>AMERICAN JOURNAL OF MANAGED CARE</t>
  </si>
  <si>
    <t>Archambault, SG; Ramachandran, S; Acosta, E; Fu, S</t>
  </si>
  <si>
    <t>Ethical dimensions of algorithmic literacy for college students: Case studies and cross-disciplinary connections</t>
  </si>
  <si>
    <t>McCosker, A</t>
  </si>
  <si>
    <t>Making sense of deepfakes: Socializing AI and building data literacy on GitHub and YouTube</t>
  </si>
  <si>
    <t>NEW MEDIA &amp; SOCIETY</t>
  </si>
  <si>
    <t>Sacca, L; Lobaina, D; Burgoa, S; Lotharius, K; Moothedan, E; Gilmore, N; Xie, JS; Mohler, R; Scharf, G; Knecht, M; Kitsantas, P</t>
  </si>
  <si>
    <t>Promoting Artificial Intelligence for Global Breast Cancer Risk Prediction and Screening in Adult Women: A Scoping Review</t>
  </si>
  <si>
    <t>JOURNAL OF CLINICAL MEDICINE</t>
  </si>
  <si>
    <t>Modran, HA; Ursutiu, D; Samoila, C</t>
  </si>
  <si>
    <t>Using the Theoretical-Experiential Binomial for Educating AI-Literate Students</t>
  </si>
  <si>
    <t>Markham, A; Pronzato, R</t>
  </si>
  <si>
    <t>A critical (theory) data literacy: tales from the field</t>
    <phoneticPr fontId="12" type="noConversion"/>
  </si>
  <si>
    <t>Naamati-Schneider, L</t>
  </si>
  <si>
    <t>Enhancing AI competence in health management: students' experiences with ChatGPT as a learning Tool</t>
  </si>
  <si>
    <t>BMC MEDICAL EDUCATION</t>
  </si>
  <si>
    <t>Carnat, I</t>
  </si>
  <si>
    <t>Addressing the risks of generative AI for the judiciary: The accountability framework(s) under the EU AI Act</t>
  </si>
  <si>
    <t>COMPUTER LAW &amp; SECURITY REVIEW</t>
  </si>
  <si>
    <t>Mirek-Rogowska, A; Kucza, W; Gajdka, K</t>
  </si>
  <si>
    <t>AI IN COMMUNICATION: THEORETICAL PERSPECTIVES, ETHICAL IMPLICATIONS, AND EMERGING COMPETENCIES</t>
  </si>
  <si>
    <t>COMMUNICATION TODAY</t>
  </si>
  <si>
    <t>Su, JH</t>
  </si>
  <si>
    <t>Kindergarten Teachers' Perceptions of AI Literacy Education for Young Children</t>
  </si>
  <si>
    <t>INTERNATIONAL JOURNAL OF TECHNOLOGY AND DESIGN EDUCATION</t>
  </si>
  <si>
    <t>Al-Abdullatif, AM</t>
  </si>
  <si>
    <t>Modeling Teachers' Acceptance of Generative Artificial Intelligence Use in Higher Education: The Role of AI Literacy, Intelligent TPACK, and Perceived Trust</t>
  </si>
  <si>
    <t>Tseng, HL; Nikiforova, A</t>
  </si>
  <si>
    <t>Navigating the High-Value Dataset Landscape From Determination to Impact: Lessons From Taiwan's OGD Ecosystem</t>
  </si>
  <si>
    <t>INFORMATION POLITY</t>
  </si>
  <si>
    <t>Memarian, B; Doleck, T</t>
  </si>
  <si>
    <t>Teaching and learning artificial intelligence: Insights from the literature</t>
  </si>
  <si>
    <t>Nedungadi, P; Tang, KY; Raman, R</t>
  </si>
  <si>
    <t>The Transformative Power of Generative Artificial Intelligence for Achieving the Sustainable Development Goal of Quality Education</t>
  </si>
  <si>
    <t>Ohta, R; Yakabe, T; Sano, C</t>
  </si>
  <si>
    <t>The development of an online-based rural community of practice framework for addressing health issues among rural citizens: a grounded theory approach</t>
  </si>
  <si>
    <t>Soltero, RG; García, DP; Bellido, A; Ryan, P; Rodríguez-Learte, AI</t>
  </si>
  <si>
    <t>FAIR data management: a framework for fostering data literacy in biomedical sciences education</t>
  </si>
  <si>
    <t>BMC MEDICAL RESEARCH METHODOLOGY</t>
  </si>
  <si>
    <t>Kashefi, P; Kashefi, Y; Mirsaraei, AG</t>
  </si>
  <si>
    <t>Shaping the future of AI: balancing innovation and ethics in global regulation</t>
  </si>
  <si>
    <t>UNIFORM LAW REVIEW</t>
  </si>
  <si>
    <t>Federiakin, D; Molerov, D; Zlatkin-Troitschanskaia, O; Maur, A</t>
  </si>
  <si>
    <t>Prompt engineering as a new 21st century skill</t>
  </si>
  <si>
    <t>Yang, YH; Yao, XN; Lu, DY; Wang, Y; Gan, YT; Bao, XM; Zhang, J; Zhang, QH</t>
  </si>
  <si>
    <t>Improving the eHealth literacy of older adults: A scoping review</t>
  </si>
  <si>
    <t>GERIATRIC NURSING</t>
  </si>
  <si>
    <t>Baldrich, K; do Minguez-Oller, JC; García-Roca, A</t>
  </si>
  <si>
    <t>Artificial Intelligence and its Impact on Academic Literacy: A Systematic Review</t>
  </si>
  <si>
    <t>EDUCATIO SIGLO XXI</t>
  </si>
  <si>
    <t>Nguyen, TQ; Ngoc, PTA; Phuong, HA; Duy, DPT; Hiep, PC; Mcclelland, R; Noroozi, O</t>
  </si>
  <si>
    <t>Digital competence of Vietnamese citizens: An application of digcomp framework and the role of individual factors</t>
  </si>
  <si>
    <t>Al-Halbouni, L; Ryan, GW; Radu, S; Spano, M; Sabnani, R; Phipatanakul, W; Gerald, LB; Garg, A; Pbert, L; Trivedi, M</t>
  </si>
  <si>
    <t>Exploring the relationship between school-supervised asthma therapy and social determinants of health in pediatric asthma care</t>
  </si>
  <si>
    <t>PEDIATRIC PULMONOLOGY</t>
  </si>
  <si>
    <t>Mcbride, C; Lee, CH; Soep, E</t>
  </si>
  <si>
    <t>Gotta Love Some Human Connection: Humanizing Data Expression in an Age of AI</t>
  </si>
  <si>
    <t>READING RESEARCH QUARTERLY</t>
  </si>
  <si>
    <t>Bachiri, YA; Mouncif, H; Bouikhalene, B; Hamzaoui, R</t>
  </si>
  <si>
    <t>INTEGRATING AI-BASED SPEECH RECOGNITION TECHNOLOGY TO ENHANCE READING ASSESSMENTS WITHIN MOROCCO'S TaRL PROGRAM</t>
  </si>
  <si>
    <t>TURKISH ONLINE JOURNAL OF DISTANCE EDUCATION</t>
  </si>
  <si>
    <t>Nault, JC; Calderaro, J; Ronot, M</t>
  </si>
  <si>
    <t>Integration of new technologies in the multidisciplinary approach to primary liver tumours: The next-generation tumour board</t>
  </si>
  <si>
    <t>JOURNAL OF HEPATOLOGY</t>
  </si>
  <si>
    <t>Vidaurre, SME; Rodríguez, NCV; Quelopana, RLG; Valdivia, ANM; Rossi, EAL; Nolasco-Mamani, MA</t>
  </si>
  <si>
    <t>Perceptions of Artificial Intelligence and Its Impact on Academic Integrity Among University Students in Peru and Chile: An Approach to Sustainable Education</t>
  </si>
  <si>
    <t>Zhou, L; Li, YH; Zhang, Y; Chen, XL; Zhang, S; Hu, XL</t>
  </si>
  <si>
    <t>Perceptions of Telehealth Services Among Rural Lung Cancer Patients in China: A Qualitative Study Using the Technology Acceptance Model</t>
  </si>
  <si>
    <t>SEMINARS IN ONCOLOGY NURSING</t>
  </si>
  <si>
    <t>Beck, SW; Levine, S</t>
  </si>
  <si>
    <t>The Next Word: A Framework for Imagining the Benefits and Harms of Generative AI as a Resource for Learning to Write</t>
  </si>
  <si>
    <t>de Roock, R</t>
  </si>
  <si>
    <t>To Become an Object Among Objects: Generative Artificial Intelligence, Writing, and Linguistic White Supremacy</t>
  </si>
  <si>
    <t>Hopson, S; Mildon, C; Hassard, K; Urie, PM; Della Corte, D</t>
  </si>
  <si>
    <t>Equipping Future Physicians with Artificial Intelligence Competencies through Student Associations</t>
  </si>
  <si>
    <t>INTERNATIONAL MEDICAL EDUCATION</t>
  </si>
  <si>
    <t>Shiri, A</t>
  </si>
  <si>
    <t>Artificial intelligence literacy: a proposed faceted taxonomy</t>
  </si>
  <si>
    <t>DIGITAL LIBRARY PERSPECTIVES</t>
  </si>
  <si>
    <t>Su, JH; Yang, WP</t>
  </si>
  <si>
    <t>Artificial Intelligence and Robotics for Young Children: Redeveloping the Five Big Ideas Framework</t>
  </si>
  <si>
    <t>ECNU REVIEW OF EDUCATION</t>
  </si>
  <si>
    <t>Acar, OA</t>
  </si>
  <si>
    <t>Commentary: Reimagining marketing education in the age of generative AI</t>
  </si>
  <si>
    <t>INTERNATIONAL JOURNAL OF RESEARCH IN MARKETING</t>
  </si>
  <si>
    <t>Hu, XY; Sui, H; Geng, XY; Zhao, L</t>
  </si>
  <si>
    <t>Constructing a teacher portrait for the artificial intelligence age based on the micro ecological system theory: A systematic review</t>
  </si>
  <si>
    <t>Mughari, S; Rafique, GM; Ali, MA</t>
  </si>
  <si>
    <t>Effect of AI literacy on work performance among medical librarians in Pakistan</t>
  </si>
  <si>
    <t>Cendra, DT; Hosang, KM; Gao, TP; Wu, JW; Kuo, LE</t>
  </si>
  <si>
    <t>Evaluating Health Literacy Resources for Secondary Hyperparathyroidism in End-Stage Kidney Disease</t>
  </si>
  <si>
    <t>JOURNAL OF SURGICAL RESEARCH</t>
  </si>
  <si>
    <t>Tang, KS</t>
  </si>
  <si>
    <t>Informing research on generative artificial intelligence from a language and literacy perspective: A meta-synthesis of studies in science education</t>
  </si>
  <si>
    <t>SCIENCE EDUCATION</t>
  </si>
  <si>
    <t>Urazbayeva, G; Kussainova, R; Aibergen, A; Kaliyeva, A; Kantayeva, G</t>
  </si>
  <si>
    <t>Innovation Off the Bat: Bridging the ChatGPT Gap in Digital Competence among English as a Foreign Language Teachers</t>
  </si>
  <si>
    <t>Belkbir, R</t>
  </si>
  <si>
    <t>ARAB WORLD ENGLISH JOURNAL</t>
  </si>
  <si>
    <t>Bae, H; Jaesung, H; Park, J; Choi, GW; Moon, J</t>
  </si>
  <si>
    <t>Pre-Service Teachers' Dual Perspectives on Generative AI: Benefits, Challenges, and Integration into their Teaching and Learning</t>
  </si>
  <si>
    <t>ONLINE LEARNING</t>
  </si>
  <si>
    <t>Huang, T; Geng, J; Chen, YX; Wang, H; Yang, HL; Hu, SZ</t>
  </si>
  <si>
    <t>Simulation and prediction study of artificial intelligence education dynamics model for primary and secondary schools</t>
  </si>
  <si>
    <t>Shyr, C; Grout, RW; Kennedy, N; Akdas, Y; Tischbein, M; Milford, J; Tan, J; Quarles, K; Edwards, TL; Novak, LL; White, J; Wilkins, CH; Harris, PA</t>
  </si>
  <si>
    <t>Leveraging artificial intelligence to summarize abstracts in lay language for increasing research accessibility and transparency</t>
  </si>
  <si>
    <t>JOURNAL OF THE AMERICAN MEDICAL INFORMATICS ASSOCIATION</t>
  </si>
  <si>
    <t>Eder, M; Sjovaag, H</t>
  </si>
  <si>
    <t>Artificial intelligence and the dawn of an algorithmic divide</t>
  </si>
  <si>
    <t>FRONTIERS IN COMMUNICATION</t>
  </si>
  <si>
    <t>Busch, F; Hoffmann, L; Truhn, D; Ortiz-Prado, E; Makowski, MR; Bressem, KK; Adams, LC</t>
  </si>
  <si>
    <t>Global cross-sectional student survey on AI in medical, dental, and veterinary education and practice at 192 faculties</t>
  </si>
  <si>
    <t>Yue, M; Jong, MSY; Dai, Y; Lau, WWF</t>
  </si>
  <si>
    <t>Students as AI literate designers: a pedagogical framework for learning and teaching AI literacy in elementary education</t>
    <phoneticPr fontId="12" type="noConversion"/>
  </si>
  <si>
    <t>JOURNAL OF RESEARCH ON TECHNOLOGY IN EDUCATION</t>
  </si>
  <si>
    <t>Chee, H; Ahn, S; Lee, J</t>
  </si>
  <si>
    <t>A Competency Framework for AI Literacy: Variations by Different Learner Groups and an Implied Learning Pathway</t>
    <phoneticPr fontId="12" type="noConversion"/>
  </si>
  <si>
    <t>Smith, F; Sadek, M; Wan, EC; Ito, A; Mougenot, C</t>
  </si>
  <si>
    <t>Codesigning AI with End-Users: An AI Literacy Toolkit for Nontechnical Audiences</t>
    <phoneticPr fontId="12" type="noConversion"/>
  </si>
  <si>
    <t>INTERACTING WITH COMPUTERS</t>
  </si>
  <si>
    <t>Choi, YS</t>
  </si>
  <si>
    <t>Earth Science Simulations with Generative Artificial Intelligence (GenAI)</t>
    <phoneticPr fontId="12" type="noConversion"/>
  </si>
  <si>
    <t>JOURNAL OF UNIVERSITY TEACHING AND LEARNING PRACTICE</t>
  </si>
  <si>
    <t>Koch, R; Steffen, MT; Wetzel, AJ; Preiser, C; Klemmt, M; Ehni, HJ; Mueller, R; Joos, S</t>
  </si>
  <si>
    <t>Exploring Laypersons' Experiences With a Mobile Symptom Checker App as an Interface Between eHealth Literacy, Health Literacy, and Health-Related Behavior: Qualitative Interview Study</t>
    <phoneticPr fontId="12" type="noConversion"/>
  </si>
  <si>
    <t>Nopas, DS</t>
  </si>
  <si>
    <t>Algorithmic learning or learner autonomy? Rethinking AI's role in digital education</t>
    <phoneticPr fontId="12" type="noConversion"/>
  </si>
  <si>
    <t>QUALITATIVE RESEARCH JOURNAL</t>
  </si>
  <si>
    <t>Love, AS; Niu, CL; Labay-Marquez, J</t>
  </si>
  <si>
    <t>Artificial Intelligence in Public Health Education: Navigating Ethical Challenges and Empowering the Next Generation of Professionals</t>
    <phoneticPr fontId="12" type="noConversion"/>
  </si>
  <si>
    <t>HEALTH PROMOTION PRACTICE</t>
  </si>
  <si>
    <t>Kim, J; Yu, S; Lee, SS; Detrick, R</t>
  </si>
  <si>
    <t>Students' prompt patterns and its effects in AI-assisted academic writing: Focusing on students' level of AI literacy</t>
  </si>
  <si>
    <t>Mi, YD; Rong, M; Chen, XC</t>
  </si>
  <si>
    <t>Exploring the Affordances and Challenges of GenAI Feedback in L2 Writing Instruction: A Comparative Analysis With Peer Feedback</t>
  </si>
  <si>
    <t>Durón, NG; Jiménez-Preciado, AL</t>
  </si>
  <si>
    <t>Exploring the role of AI in higher education: a natural language processing analysis of emerging trends and discourses</t>
  </si>
  <si>
    <t>TQM JOURNAL</t>
  </si>
  <si>
    <t>Shen, YN; Chen, L</t>
  </si>
  <si>
    <t>'Critical chatting' or 'casual cheating': how graduate EFL students utilize ChatGPT for academic writing</t>
  </si>
  <si>
    <t>COMPUTER ASSISTED LANGUAGE LEARNING</t>
  </si>
  <si>
    <t>Nowacki, L; Wrochna, AE</t>
  </si>
  <si>
    <t>ChatGPT theses. Identifying distinctive markers in AI-generated versus human-created texts: A multimodal analysis in university education</t>
  </si>
  <si>
    <t>E-LEARNING AND DIGITAL MEDIA</t>
  </si>
  <si>
    <t>Palmquist, A; Sigurdardottir, HDI; Myhre, H</t>
  </si>
  <si>
    <t>Exploring interfaces and implications for integrating social-emotional competencies into AI literacy for education: a narrative review</t>
    <phoneticPr fontId="12" type="noConversion"/>
  </si>
  <si>
    <t>JOURNAL OF COMPUTERS IN EDUCATION</t>
  </si>
  <si>
    <t>Jeon, J; Sim, Y; Lee, H; Han, C; Yun, D; Kim, E; Nagendra, SL; Jun, MBG; Kim, Y; Lee, SW; Lee, J</t>
  </si>
  <si>
    <t>ChatCNC: Conversational machine monitoring via large language model and real-time data retrieval augmented generation</t>
    <phoneticPr fontId="12" type="noConversion"/>
  </si>
  <si>
    <t>JOURNAL OF MANUFACTURING SYSTEMS</t>
  </si>
  <si>
    <t>Zhong, BC; Liu, XF</t>
  </si>
  <si>
    <t>Evaluating AI literacy of secondary students: Framework and scale development</t>
    <phoneticPr fontId="12" type="noConversion"/>
  </si>
  <si>
    <t>COMPUTERS &amp; EDUCATION</t>
  </si>
  <si>
    <t>Tseng, L; Huang, LP; Chen, WR</t>
  </si>
  <si>
    <t>Exploring artificial intelligence literacy and the use of ChatGPT and copilot in instruction on nursing academic report writing</t>
    <phoneticPr fontId="12" type="noConversion"/>
  </si>
  <si>
    <t>Lu, KL; Zhu, JR; Pang, F; Shadiev, R</t>
  </si>
  <si>
    <t>Understanding the relationship between colleges students' artificial intelligence literacy and higher order thinking skills using the 3P model: the mediating roles of behavioral engagement and peer interaction</t>
    <phoneticPr fontId="12" type="noConversion"/>
  </si>
  <si>
    <t>Viveros-Muñoz, R; Carrasco-Sáez, J; Contreras-Saavedra, C; San-Martín-Quiroga, S; Contreras-Saavedra, CE</t>
  </si>
  <si>
    <t>Does the Grammatical Structure of Prompts Influence the Responses of Generative Artificial Intelligence? An Exploratory Analysis in Spanish</t>
    <phoneticPr fontId="12" type="noConversion"/>
  </si>
  <si>
    <t>Gupta, S; Jaiswal, R</t>
  </si>
  <si>
    <t>A deep learning-based hybrid PLS-SEM-ANN approach for predicting factors improving AI-driven decision-making proficiency for future leaders</t>
    <phoneticPr fontId="12" type="noConversion"/>
  </si>
  <si>
    <t>JOURNAL OF INTERNATIONAL EDUCATION IN BUSINESS</t>
  </si>
  <si>
    <t>Gondwe, G</t>
  </si>
  <si>
    <t>Artificial Intelligence, Journalism, and the Ubuntu Robot in Sub-Saharan Africa: Towards a Normative Framework</t>
  </si>
  <si>
    <t>DIGITAL JOURNALISM</t>
  </si>
  <si>
    <t>Bhuiyan, MRI; Husain, T; Islam, S; Amin, A</t>
  </si>
  <si>
    <t>Exploring the prospective influence of artificial intelligence on the health sector in Bangladesh: a study on awareness, perception and adoption</t>
  </si>
  <si>
    <t>HEALTH EDUCATION</t>
  </si>
  <si>
    <t>Hollimon, LA; Taylor, KV; Fiegenbaum, R; Carrasco, M; Gomez, LG; Chung, D; Seixas, AA</t>
  </si>
  <si>
    <t>Redefining and solving the digital divide and exclusion to improve healthcare: going beyond access to include availability, adequacy, acceptability, and affordability</t>
  </si>
  <si>
    <t>FRONTIERS IN DIGITAL HEALTH</t>
  </si>
  <si>
    <t>Ferhataj, A; Memaj, F; Sahatcija, R; Ora, A; Koka, E</t>
  </si>
  <si>
    <t>Ethical concerns in AI development: analyzing students' perspectives on robotics and society</t>
    <phoneticPr fontId="12" type="noConversion"/>
  </si>
  <si>
    <t>JOURNAL OF INFORMATION COMMUNICATION &amp; ETHICS IN SOCIETY</t>
  </si>
  <si>
    <t>Michalak, R; Ellixson, D</t>
  </si>
  <si>
    <t>Fostering Ethical AI Integration in First-Year Writing: A Case Study on Human-Tool Collaboration in Artificial Intelligence Literacy</t>
  </si>
  <si>
    <t>JOURNAL OF LIBRARY ADMINISTRATION</t>
  </si>
  <si>
    <t>Sun, F; Jiang, L; Chen, XS; Feng, YL</t>
  </si>
  <si>
    <t>Interactive AI Technology for Dementia Caregivers: Needs and Implementation Evidence</t>
  </si>
  <si>
    <t>JOURNAL OF TECHNOLOGY IN HUMAN SERVICES</t>
  </si>
  <si>
    <t>Santos, P; Nazaré, I</t>
  </si>
  <si>
    <t>The doctor and patient of tomorrow: exploring the intersection of artificial intelligence, preventive medicine, and ethical challenges in future healthcare</t>
  </si>
  <si>
    <t>El Arab, RA; Al Moosa, OA; Abuadas, FH; Somerville, J</t>
  </si>
  <si>
    <t>The Role of AI in Nursing Education and Practice: Umbrella Review</t>
  </si>
  <si>
    <t>JOURNAL OF MEDICAL INTERNET RESEARCH</t>
  </si>
  <si>
    <t>Okada, A; Sherborne, T; Panselinas, G; Kolionis, G</t>
  </si>
  <si>
    <t>Fostering Transversal Skills Through Open Schooling Supported by the CARE-KNOW-DO Pedagogical Model and the UNESCO AI Competencies Framework</t>
    <phoneticPr fontId="12" type="noConversion"/>
  </si>
  <si>
    <t>Darwish, AS; Alhosani, KM; Al-Kayiem, HH</t>
  </si>
  <si>
    <t>AI ENHANCED SUSTAINABLE EDUCATIONAL FRAMEWORK FOR GREENER WORLD</t>
  </si>
  <si>
    <t>JOURNAL OF ENGINEERING SCIENCE AND TECHNOLOGY</t>
  </si>
  <si>
    <t>Tsenov, MY; Bakracheva, MAS</t>
  </si>
  <si>
    <t>Attitudes towards artificial intelligence in professional and personal life</t>
  </si>
  <si>
    <t>OBRAZOVANIE I NAUKA-EDUCATION AND SCIENCE</t>
  </si>
  <si>
    <t>Ortega, AG; Bourgeois, J; Hutiri, WT; Kortuem, G</t>
  </si>
  <si>
    <t>Beyond data transactions: a framework for meaningfully informed data donation</t>
  </si>
  <si>
    <t>Brünner, B; Schön, S; Ebner, M</t>
  </si>
  <si>
    <t>From Gretel to Strudelcity: Empowering Teachers Regarding Generative AI for Enhanced AI Literacy with CollectiveGPT</t>
    <phoneticPr fontId="12" type="noConversion"/>
  </si>
  <si>
    <t>Valdivieso, T; González, O</t>
  </si>
  <si>
    <t>Generative AI Tools in Salvadoran Higher Education: Balancing Equity, Ethics, and Knowledge Management in the Global South</t>
  </si>
  <si>
    <t>Ranade, N; Saravia, M; Johri, A</t>
  </si>
  <si>
    <t>Using rhetorical strategies to design prompts: a human-in-the-loop approach to make AI useful</t>
  </si>
  <si>
    <t>Daniel, K; Msambwa, MM; Wen, Z</t>
  </si>
  <si>
    <t>Can Generative AI Revolutionise Academic Skills Development in Higher Education? A Systematic Literature Review</t>
  </si>
  <si>
    <t>Artemiou, E; Hooper, S; Dascanio, L; Schmidt, M; Gilbert, G</t>
  </si>
  <si>
    <t>Introducing AI-generated cases (AI-cases) &amp; standardized clients (AI-SCs) in communication training for veterinary students: perceptions and adoption challenges</t>
  </si>
  <si>
    <t>FRONTIERS IN VETERINARY SCIENCE</t>
  </si>
  <si>
    <t>Assanova, A; Issaeva, A; Dzhubalieva, Z; Arzikulova, R; Uchkampirova, A</t>
  </si>
  <si>
    <t>Financial-digital investments in human capital as a factor of sustainable economic growth: assessment, dynamics and impact of artificial intelligence (a Kazakhstan case study)</t>
  </si>
  <si>
    <t>ECONOMIC ANNALS-XXI</t>
  </si>
  <si>
    <t>Carmona-Galindo, VD; Velado-Cano, MA; Groat-Carmona, AM</t>
  </si>
  <si>
    <t>The Ecology of Climate Change: Using Virtual Reality to Share, Experience, and Cultivate Local and Global Perspectives</t>
  </si>
  <si>
    <t>Kaushik, A; Barcellona, C; Mandyam, NK; Tan, SY; Tromp, J</t>
  </si>
  <si>
    <t>Challenges and Opportunities for Data Sharing Related to Artificial Intelligence Tools in Health Care in Low- and Middle-Income Countries: Systematic Review and Case Study From Thailand</t>
  </si>
  <si>
    <t>Hur, JW</t>
  </si>
  <si>
    <t>Fostering AI literacy: overcoming concerns and nurturing confidence among preservice teachers</t>
  </si>
  <si>
    <t>Ngo, TN; Hastie, D</t>
  </si>
  <si>
    <t>Artificial Intelligence for Academic Purposes (AIAP) Integrating AI literacy into an EAP module</t>
    <phoneticPr fontId="12" type="noConversion"/>
  </si>
  <si>
    <t>ENGLISH FOR SPECIFIC PURPOSES</t>
  </si>
  <si>
    <t>Santosa, FA</t>
  </si>
  <si>
    <t>Artificial Intelligence in Library Studies: A Textual Analysis</t>
  </si>
  <si>
    <t>JLIS.IT</t>
  </si>
  <si>
    <t>Chung, KM; Kim, S; Jang, Y; Choi, S; Kim, H</t>
  </si>
  <si>
    <t>Developing an AI literacy diagnostic tool for elementary school students</t>
    <phoneticPr fontId="12" type="noConversion"/>
  </si>
  <si>
    <t>Ma, YY; Jiang, FK</t>
  </si>
  <si>
    <t>Guiding and engaging the audience: Visual metadiscourse in PowerPoint slides of Three Minute Thesis presentations</t>
  </si>
  <si>
    <t>Banerjee, S</t>
  </si>
  <si>
    <t>Portfolio management with the help of AI: What drives retail Indian investors to robo-advisors?</t>
  </si>
  <si>
    <t>ELECTRONIC JOURNAL OF INFORMATION SYSTEMS IN DEVELOPING COUNTRIES</t>
  </si>
  <si>
    <t>Bai, LL</t>
  </si>
  <si>
    <t>Research on influencing factors and mechanisms of college students' use of artificial intelligence tools based on sor and rational behavior models</t>
  </si>
  <si>
    <t>CURRENT PSYCHOLOGY</t>
  </si>
  <si>
    <t>Savec, VF; Jedrinovic, S</t>
  </si>
  <si>
    <t>The Role of AI Implementation in Higher Education in Achieving the Sustainable Development Goals: A Case Study from Slovenia</t>
  </si>
  <si>
    <t>Marsico, G</t>
  </si>
  <si>
    <t>Transforming uncertainty into confidence in the care pathway: The place of shared decision-making, obstacles and facilitators to its implementation in France</t>
  </si>
  <si>
    <t>BULLETIN DE L ACADEMIE NATIONALE DE MEDECINE</t>
  </si>
  <si>
    <t>Developing and validating an artificial intelligent empowerment instrument: evaluating the impact of an artificial intelligent literacy programme for secondary school and university students</t>
  </si>
  <si>
    <t>RESEARCH AND PRACTICE IN TECHNOLOGY ENHANCED LEARNING</t>
  </si>
  <si>
    <t>Wang, CL; Chen, XJ; Hu, ZB; Jin, S; Gu, XQ</t>
  </si>
  <si>
    <t>Deconstructing University Learners' Adoption Intention Towards AIGC Technology: A Mixed-Methods Study Using ChatGPT as an Example</t>
  </si>
  <si>
    <t>JOURNAL OF COMPUTER ASSISTED LEARNING</t>
  </si>
  <si>
    <t>Nguyen, TL; Pham, V; Giao, LLL</t>
  </si>
  <si>
    <t>Bridging behavioural models and explainable AI in cryptocurrency adoption: a study of emerging markets with evidence from Vietnam</t>
  </si>
  <si>
    <t>JOURNAL OF DECISION SYSTEMS</t>
  </si>
  <si>
    <t>Ward, F; Cho, JS; Jung, JK; Tognocchi, C; Beadles, T; Cheon, J</t>
  </si>
  <si>
    <t>ChatGPT for the intellectual soul: a Deweyan perspective on AI-based multicultural classroom praxis</t>
    <phoneticPr fontId="12" type="noConversion"/>
  </si>
  <si>
    <t>MULTICULTURAL EDUCATION REVIEW</t>
  </si>
  <si>
    <t>Flynn, MA</t>
  </si>
  <si>
    <t>How ChatGPT will [insert hyperbolic cliche here] the [insert industry here]: Creating media literacy infographics about generative AI</t>
  </si>
  <si>
    <t>COMMUNICATION TEACHER</t>
  </si>
  <si>
    <t>Clark, QM</t>
  </si>
  <si>
    <t>A pedagogical approach: toward leveraging mathematical modeling and AI to support integrating humanities into STEM education</t>
  </si>
  <si>
    <t>Newman-Griffis, D</t>
  </si>
  <si>
    <t>AI Thinking: a framework for rethinking artificial intelligence in practice</t>
    <phoneticPr fontId="12" type="noConversion"/>
  </si>
  <si>
    <t>ROYAL SOCIETY OPEN SCIENCE</t>
  </si>
  <si>
    <t>Francis, NJ; Jones, S; Smith, DP</t>
  </si>
  <si>
    <t>Generative AI in Higher Education: Balancing Innovation and Integrity</t>
  </si>
  <si>
    <t>BRITISH JOURNAL OF BIOMEDICAL SCIENCE</t>
  </si>
  <si>
    <t>Ajalo, E; Mukunya, D; Nantale, R; Kayemba, F; Pangholi, K; Babuya, J; Akuu, SL; Namiiro, AM; Nsubuga, YB; Mpagi, JL; Musaba, MW; Oguttu, F; Kuteesa, J; Mubuuke, AG; Munabi, IG; Kiguli, S</t>
  </si>
  <si>
    <t>Widespread use of ChatGPT and other Artificial Intelligence tools among medical students in Uganda: A cross-sectional study</t>
  </si>
  <si>
    <t>Liu, HG; Fan, JQ</t>
  </si>
  <si>
    <t>AI-Mediated Communication in EFL Classrooms: The Role of Technical and Pedagogical Stimuli and the Mediating Effects of AI Literacy and Enjoyment</t>
  </si>
  <si>
    <t>Cho, K; Park, Y; Kim, J; Kim, B; Jeong, D</t>
  </si>
  <si>
    <t>Conversational AI forensics: A case study on ChatGPT, Gemini, Copilot, and Claude</t>
  </si>
  <si>
    <t>FORENSIC SCIENCE INTERNATIONAL-DIGITAL INVESTIGATION</t>
  </si>
  <si>
    <t>Lee, CS; Tan, LE; Goh, DHL</t>
  </si>
  <si>
    <t>Examining generation Z's use of generative AI from an affordance-based approach</t>
  </si>
  <si>
    <t>INFORMATION RESEARCH-AN INTERNATIONAL ELECTRONIC JOURNAL</t>
  </si>
  <si>
    <t>Donate-Beby, B; García-Peñalvo, FJ; Amo-Filva, D; Aguayo-Mauri, S</t>
  </si>
  <si>
    <t>Filling the gap in K-12 data literacy competence assessment: Design and initial validation of a questionnaire</t>
  </si>
  <si>
    <t>COMPUTERS IN HUMAN BEHAVIOR REPORTS</t>
  </si>
  <si>
    <t>Darvin, R</t>
  </si>
  <si>
    <t>Identity and investment in the age of generative AI</t>
  </si>
  <si>
    <t>ANNUAL REVIEW OF APPLIED LINGUISTICS</t>
  </si>
  <si>
    <t>Lin, CH; Zhou, KY; Li, LQ; Sun, LF</t>
  </si>
  <si>
    <t>Integrating generative AI into digital multimodal composition: A study of multicultural second-language classrooms</t>
  </si>
  <si>
    <t>COMPUTERS AND COMPOSITION</t>
  </si>
  <si>
    <t>Baumann, M; Pfister, J; Carolus, A; Hotho, A; Wienrich, C</t>
  </si>
  <si>
    <t>Master your practice! A quantitative analysis of Device and system handling training to enable competent interactions with intelligent voice assistants</t>
  </si>
  <si>
    <t>Tun, HM; Naing, L; Malik, OA; Rahman, HA</t>
  </si>
  <si>
    <t>Navigating ASEAN region Artificial Intelligence (AI) governance readiness in healthcare</t>
  </si>
  <si>
    <t>HEALTH POLICY AND TECHNOLOGY</t>
  </si>
  <si>
    <t>Walan, S</t>
  </si>
  <si>
    <t>Primary school students' perceptions of artificial intelligence - for good or bad</t>
  </si>
  <si>
    <t>Ru, KC; Tang, R</t>
  </si>
  <si>
    <t>Promoting AI literacy through US academic libraries: an analysis of LibGuides from ARL and Oberlin group libraries using the EDUCAUSE AI literacy framework</t>
    <phoneticPr fontId="12" type="noConversion"/>
  </si>
  <si>
    <t>Yu, JL; Yu, SQ; Chen, L</t>
  </si>
  <si>
    <t>Using hybrid intelligence to enhance peer feedback for promoting teacher reflection in video-based online learning</t>
  </si>
  <si>
    <t>Zipf, S; Wu, CH; Petricini, T</t>
  </si>
  <si>
    <t>Ali, M</t>
  </si>
  <si>
    <t>Will AI reshape or deform pharmacy education?</t>
  </si>
  <si>
    <t>CURRENTS IN PHARMACY TEACHING AND LEARNING</t>
  </si>
  <si>
    <t>Bignami, EG; Russo, M; Semeraro, F; Bellini, V</t>
  </si>
  <si>
    <t>Technoethics in real life: AI as a core clinical competency</t>
  </si>
  <si>
    <t>JOURNAL OF ANESTHESIA ANALGESIA AND CRITICAL CARE</t>
  </si>
  <si>
    <t>Anisha, SA; Sen, A; Ahmad, B; Bain, C</t>
  </si>
  <si>
    <t>Exploring Acceptance of Digital Health Technologies for Managing Non-Communicable Diseases Among Older Adults: A Systematic Scoping Review</t>
  </si>
  <si>
    <t>JOURNAL OF MEDICAL SYSTEMS</t>
  </si>
  <si>
    <t>Castro, A; Díaz, B; Aguilera, C; Prat, M; Chávez-Herting, D</t>
  </si>
  <si>
    <t>Identifying Rural Elementary Teachers' Perception Challenges and Opportunities in Integrating Artificial Intelligence in Teaching Practices</t>
  </si>
  <si>
    <t>Castaño, SC</t>
  </si>
  <si>
    <t>Artificial intelligence in Public Health: opportunities, ethical challenges and future perspectives</t>
  </si>
  <si>
    <t>REVISTA ESPANOLA DE SALUD PUBLICA</t>
  </si>
  <si>
    <t>Hassanein, S; El Arab, RA; Abdrbo, A; Abu-Mahfouz, MS; Gaballah, MKF; Seweid, MM; Almari, M; Alzghoul, H</t>
  </si>
  <si>
    <t>Artificial intelligence in nursing: an integrative review of clinical and operational impacts</t>
  </si>
  <si>
    <t>Al Nashmi, E; Almutairi, A; Bashir, M; Alsharhan, E</t>
  </si>
  <si>
    <t>Evaluating the visual literacy of the Kuwaiti government's Arabic infographics during the COVID-19 pandemic: an automated visual analysis and AI approach</t>
  </si>
  <si>
    <t>A systematic review of AI literacy conceptualization, constructs, and implementation and assessment efforts (2019-2023)</t>
    <phoneticPr fontId="3" type="noConversion"/>
  </si>
  <si>
    <t>Towards an educational framework for integrating AI education into second-level education in Ireland</t>
    <phoneticPr fontId="3" type="noConversion"/>
  </si>
  <si>
    <t>From Gretel to Strudelcity: Empowering Teachers Regarding Generative AI for Enhanced AI Literacy with CollectiveGPT</t>
    <phoneticPr fontId="3" type="noConversion"/>
  </si>
  <si>
    <t>AI literacy in K-12: a systematic literature review</t>
    <phoneticPr fontId="3" type="noConversion"/>
  </si>
  <si>
    <t>University Students' Conceptualisation of AI Literacy: Theory and Empirical Evidence</t>
    <phoneticPr fontId="3" type="noConversion"/>
  </si>
  <si>
    <t>Earth Science Simulations with Generative Artificial Intelligence (GenAI)</t>
    <phoneticPr fontId="3" type="noConversion"/>
  </si>
  <si>
    <t>Constructing a STEM Projects Design Framework for Middle School AI Courses: Developing Students' AI Literacy as Project Goals</t>
    <phoneticPr fontId="3" type="noConversion"/>
  </si>
  <si>
    <t>Development of an AI literacy assessment for non-technical individuals: What do teachers know?</t>
    <phoneticPr fontId="12" type="noConversion"/>
  </si>
  <si>
    <t>Teaching artificial intelligence to K-12 through a role-playing game questioning the intelligence concept</t>
    <phoneticPr fontId="12" type="noConversion"/>
  </si>
  <si>
    <t>Developing a holistic AI literacy assessment matrix - Bridging generic, domain-specific, and ethical competencies</t>
    <phoneticPr fontId="12" type="noConversion"/>
  </si>
  <si>
    <t>A Human-Centered Learning and Teaching Framework Using Generative Artificial Intelligence for Self-Regulated Learning Development Through Domain Knowledge Learning in K-12 Settings</t>
    <phoneticPr fontId="3" type="noConversion"/>
  </si>
  <si>
    <t>A critical (theory) data literacy: tales from the field</t>
    <phoneticPr fontId="3" type="noConversion"/>
  </si>
  <si>
    <t>Making sense of deepfakes: Socializing AI and building data literacy on GitHub and YouTube</t>
    <phoneticPr fontId="12" type="noConversion"/>
  </si>
  <si>
    <t>Artificial Intelligence (AI) Literacy Questionnaire with Confirmatory Factor Analysis</t>
    <phoneticPr fontId="3" type="noConversion"/>
  </si>
  <si>
    <t>Promoting AI literacy through US academic libraries: an analysis of LibGuides from ARL and Oberlin group libraries using the EDUCAUSE AI literacy framework</t>
    <phoneticPr fontId="3" type="noConversion"/>
  </si>
  <si>
    <t>Safety, Identity, Attitude, Cognition, and Capability: The 'SIACC' Framework of Early Childhood AI Literacy</t>
    <phoneticPr fontId="3" type="noConversion"/>
  </si>
  <si>
    <t>Charting Competence: A Holistic Scale for Measuring Proficiency in Artificial Intelligence Literacy</t>
    <phoneticPr fontId="3" type="noConversion"/>
  </si>
  <si>
    <t>Evaluating AI literacy of secondary students: Framework and scale development</t>
    <phoneticPr fontId="3" type="noConversion"/>
  </si>
  <si>
    <t>No</t>
    <phoneticPr fontId="12" type="noConversion"/>
  </si>
  <si>
    <t>Language</t>
  </si>
  <si>
    <t>English</t>
  </si>
  <si>
    <t>Spanish</t>
  </si>
  <si>
    <t>ELT JOURNAL</t>
  </si>
  <si>
    <t>ADULT LEARNING</t>
  </si>
  <si>
    <t>BRITISH EDUCATIONAL RESEARCH JOURNAL</t>
  </si>
  <si>
    <t>POLICY FUTURES IN EDUCATION</t>
  </si>
  <si>
    <t>Publication
Type</t>
    <phoneticPr fontId="12" type="noConversion"/>
  </si>
  <si>
    <t>Article Title</t>
    <phoneticPr fontId="12" type="noConversion"/>
  </si>
  <si>
    <t>Selected</t>
    <phoneticPr fontId="12" type="noConversion"/>
  </si>
  <si>
    <t>Publication
Year</t>
    <phoneticPr fontId="12" type="noConversion"/>
  </si>
  <si>
    <t xml:space="preserve">1st Screening:
Topic relevance  </t>
    <phoneticPr fontId="12" type="noConversion"/>
  </si>
  <si>
    <t>2nd Screening:
Scope check</t>
    <phoneticPr fontId="12" type="noConversion"/>
  </si>
  <si>
    <t>3rd Screening:
Final content check_Specific components</t>
    <phoneticPr fontId="12" type="noConversion"/>
  </si>
  <si>
    <t>Reason</t>
    <phoneticPr fontId="12" type="noConversion"/>
  </si>
  <si>
    <t>J</t>
    <phoneticPr fontId="12" type="noConversion"/>
  </si>
  <si>
    <t>Education and Communication Public Policy: Discussions and Developments</t>
    <phoneticPr fontId="12" type="noConversion"/>
  </si>
  <si>
    <t>excluded</t>
    <phoneticPr fontId="12" type="noConversion"/>
  </si>
  <si>
    <t>Non-english</t>
    <phoneticPr fontId="12" type="noConversion"/>
  </si>
  <si>
    <t>Karaton: An Example of AI Integration Within a Literacy App</t>
    <phoneticPr fontId="12" type="noConversion"/>
  </si>
  <si>
    <t>Not relevant to AI literacy and framework</t>
  </si>
  <si>
    <t>What is AI Literacy? Competencies and Design Considerations</t>
    <phoneticPr fontId="12" type="noConversion"/>
  </si>
  <si>
    <t>Pass</t>
    <phoneticPr fontId="12" type="noConversion"/>
  </si>
  <si>
    <t>Materials and assessment of literacy level for the recognition of social bots in political misinformation contexts</t>
    <phoneticPr fontId="12" type="noConversion"/>
  </si>
  <si>
    <t>Media literacy</t>
    <phoneticPr fontId="12" type="noConversion"/>
  </si>
  <si>
    <t>A Comparison of Social Robot to Tablet and Teacher in a New Script Learning Context</t>
    <phoneticPr fontId="12" type="noConversion"/>
  </si>
  <si>
    <t>Media information literacy</t>
    <phoneticPr fontId="12" type="noConversion"/>
  </si>
  <si>
    <t>The Road to AI Literacy Education: From Pedagogical Needs to Tangible Game Design</t>
    <phoneticPr fontId="12" type="noConversion"/>
  </si>
  <si>
    <t>Educational game design</t>
    <phoneticPr fontId="12" type="noConversion"/>
  </si>
  <si>
    <t>Digital literacy</t>
    <phoneticPr fontId="12" type="noConversion"/>
  </si>
  <si>
    <t>Health literacy</t>
    <phoneticPr fontId="12" type="noConversion"/>
  </si>
  <si>
    <t>Where Is the AI? AI Literacy for Educators</t>
    <phoneticPr fontId="12" type="noConversion"/>
  </si>
  <si>
    <t>Reflective case study in AIED</t>
    <phoneticPr fontId="12" type="noConversion"/>
  </si>
  <si>
    <t>Why am I seeing this? Deconstructing algorithm literacy through the lens of users</t>
    <phoneticPr fontId="12" type="noConversion"/>
  </si>
  <si>
    <t>Algorithm literacy</t>
    <phoneticPr fontId="12" type="noConversion"/>
  </si>
  <si>
    <t>Reading education study</t>
    <phoneticPr fontId="12" type="noConversion"/>
  </si>
  <si>
    <t>An Immersive Learning Factory for AI &amp; Data Literacy: An Exploratory Study in the Wild</t>
    <phoneticPr fontId="12" type="noConversion"/>
  </si>
  <si>
    <t>Immersive learning guidelines</t>
    <phoneticPr fontId="12" type="noConversion"/>
  </si>
  <si>
    <t>Ng, DTK; Wu, WJ; Leung, JKL; Chu, SKW</t>
    <phoneticPr fontId="12" type="noConversion"/>
  </si>
  <si>
    <t>Data litearcy and non english</t>
    <phoneticPr fontId="12" type="noConversion"/>
  </si>
  <si>
    <t>Ineligible:Focus on Algorithmic literacy</t>
    <phoneticPr fontId="12" type="noConversion"/>
  </si>
  <si>
    <t>Data literacy</t>
    <phoneticPr fontId="12" type="noConversion"/>
  </si>
  <si>
    <t>Evaluating an Artificial Intelligence Literacy Programme for Developing University Students? Conceptual Understanding, Literacy, Empowerment and Ethical Awareness</t>
    <phoneticPr fontId="12" type="noConversion"/>
  </si>
  <si>
    <t>AI literacu program evaluation study</t>
    <phoneticPr fontId="12" type="noConversion"/>
  </si>
  <si>
    <t>Reflections on the ethics, potential, and challenges of artificial intelligence in the framework of quality education (SDG4)</t>
    <phoneticPr fontId="12" type="noConversion"/>
  </si>
  <si>
    <t>SDGs education</t>
    <phoneticPr fontId="12" type="noConversion"/>
  </si>
  <si>
    <t>Information literacy</t>
    <phoneticPr fontId="12" type="noConversion"/>
  </si>
  <si>
    <t>Ineligible:Focus on reading literacy</t>
    <phoneticPr fontId="12" type="noConversion"/>
  </si>
  <si>
    <t>A Framework for Approaching AI Education in Educator Preparation Programs</t>
    <phoneticPr fontId="12" type="noConversion"/>
  </si>
  <si>
    <t>AI integration strategies for Educator Preparation Programs</t>
  </si>
  <si>
    <t>A sustainable artificial-intelligence-augmented digital care pathway for epilepsy: Automating seizure tracking based on electroencephalogram data using artificial intelligence</t>
    <phoneticPr fontId="12" type="noConversion"/>
  </si>
  <si>
    <t>Non-fit topic</t>
    <phoneticPr fontId="12" type="noConversion"/>
  </si>
  <si>
    <t>Data science litearcy</t>
    <phoneticPr fontId="12" type="noConversion"/>
  </si>
  <si>
    <t>Ineligible:Focus on AIED</t>
    <phoneticPr fontId="12" type="noConversion"/>
  </si>
  <si>
    <t>Artificial Intelligence Literacy in Research</t>
    <phoneticPr fontId="12" type="noConversion"/>
  </si>
  <si>
    <t>Spanish</t>
    <phoneticPr fontId="12" type="noConversion"/>
  </si>
  <si>
    <t>Bridging the Algorithmic Divide: Refocusing Faculty Artificial Intelligence Literacy in Higher Education</t>
    <phoneticPr fontId="12" type="noConversion"/>
  </si>
  <si>
    <t>Digital divide</t>
    <phoneticPr fontId="12" type="noConversion"/>
  </si>
  <si>
    <t>Charting the Path Forward: Effective Didactic Approach for Teaching AI Literacy in K-12 Education</t>
    <phoneticPr fontId="12" type="noConversion"/>
  </si>
  <si>
    <t>The assessment of on AI literacy intervention program for teachers</t>
    <phoneticPr fontId="12" type="noConversion"/>
  </si>
  <si>
    <t>Eliciting and Empowering Teachers' AI Literacy: The Devil is in the Detail</t>
    <phoneticPr fontId="12" type="noConversion"/>
  </si>
  <si>
    <t>Evolution and Implementation of Artificial Intelligence Literacy by Using BERT-Based System</t>
    <phoneticPr fontId="12" type="noConversion"/>
  </si>
  <si>
    <t>AIED tech study</t>
    <phoneticPr fontId="12" type="noConversion"/>
  </si>
  <si>
    <t>Harnessing Generative AI for Educational Gamification: A Framework and Practical Guide for Educators</t>
    <phoneticPr fontId="12" type="noConversion"/>
  </si>
  <si>
    <t>Gamified learning study based on GenAI</t>
    <phoneticPr fontId="12" type="noConversion"/>
  </si>
  <si>
    <t>Investigating the Impact of Programming Activities on Computational Thinking and AI Literacy in Spanish Schools</t>
    <phoneticPr fontId="12" type="noConversion"/>
  </si>
  <si>
    <t>Implementation case stduy</t>
    <phoneticPr fontId="12" type="noConversion"/>
  </si>
  <si>
    <t>LLM-Generated Personalized Analogies to Foster AI Literacy in Adult Novices</t>
    <phoneticPr fontId="12" type="noConversion"/>
  </si>
  <si>
    <t>The Development and Validation of the Artificial Intelligence Literacy Scale for Chinese College Students (AILS-CCS)</t>
    <phoneticPr fontId="12" type="noConversion"/>
  </si>
  <si>
    <t>AI literacy scale validation study</t>
  </si>
  <si>
    <t>Unlocking AI Literacy: The SMaILE-App Gaming Experience</t>
    <phoneticPr fontId="12" type="noConversion"/>
  </si>
  <si>
    <t>GenAI literacy</t>
    <phoneticPr fontId="12" type="noConversion"/>
  </si>
  <si>
    <t>AIED study</t>
    <phoneticPr fontId="12" type="noConversion"/>
  </si>
  <si>
    <t>Traditional literacy study for business students</t>
    <phoneticPr fontId="12" type="noConversion"/>
  </si>
  <si>
    <t>Study on AI-based edcuation programs for teachers</t>
    <phoneticPr fontId="12" type="noConversion"/>
  </si>
  <si>
    <t>A novel framework for artificial intelligence explainability via the Technology Acceptance Model and Rapid Estimate of Adult Literacy in Medicine using machine learning</t>
    <phoneticPr fontId="12" type="noConversion"/>
  </si>
  <si>
    <t>Medical domain study</t>
    <phoneticPr fontId="12" type="noConversion"/>
  </si>
  <si>
    <t>Ineligible: Foucus on the impact of Ai literacy on student engagement</t>
    <phoneticPr fontId="12" type="noConversion"/>
  </si>
  <si>
    <t>Ineligible: Foucus on the algorithmic litearcy</t>
    <phoneticPr fontId="12" type="noConversion"/>
  </si>
  <si>
    <t>The factors influencing teacher education students' willingness to adopt artificial intelligence technology for information-based teaching</t>
    <phoneticPr fontId="12" type="noConversion"/>
  </si>
  <si>
    <t>Ineligible:Focus on AI acceptance(TAM)</t>
    <phoneticPr fontId="12" type="noConversion"/>
  </si>
  <si>
    <t>Ineligible:Focus on the impact of a specific AI maker program</t>
    <phoneticPr fontId="12" type="noConversion"/>
  </si>
  <si>
    <t>Advancing freshman skills in information literacy and self-regulation: The role of AI learning companions and Mandala Chart in academic libraries</t>
    <phoneticPr fontId="12" type="noConversion"/>
  </si>
  <si>
    <t>Ineligible: Focus on AI pedagogy</t>
    <phoneticPr fontId="12" type="noConversion"/>
  </si>
  <si>
    <t>Ineligible:AI literacy perception survey of specific group</t>
    <phoneticPr fontId="12" type="noConversion"/>
  </si>
  <si>
    <t>Integrating the 6Cs in Moroccan Higher Education: A Framework for Inclusive AI Learning Design</t>
    <phoneticPr fontId="12" type="noConversion"/>
  </si>
  <si>
    <t>Pedagogical study on 21st-century competencies</t>
    <phoneticPr fontId="12" type="noConversion"/>
  </si>
  <si>
    <t>O’Dea, X., Tsz Kit Ng, D., O’Dea, M., &amp; Shkuratskyy, V.</t>
  </si>
  <si>
    <t>Factors affecting university students' generative AI literacy: Evidence and evaluation in the UK and Hong Kong contexts</t>
    <phoneticPr fontId="12" type="noConversion"/>
  </si>
  <si>
    <t>English</t>
    <phoneticPr fontId="12" type="noConversion"/>
  </si>
  <si>
    <t>Ineligible:Focus on GenAI</t>
    <phoneticPr fontId="12" type="noConversion"/>
  </si>
  <si>
    <t>Yang, H., Zhang, D., Guo, W., &amp; He, Y.</t>
  </si>
  <si>
    <t>Constructing a STEM projects design framework for middle school AI courses: Developing students' AI literacy as project goals</t>
    <phoneticPr fontId="12" type="noConversion"/>
  </si>
  <si>
    <t>Ineligible: Focus on AI-STEM project design</t>
    <phoneticPr fontId="12" type="noConversion"/>
  </si>
  <si>
    <t>Ineligible:Focus on prompt literacy</t>
    <phoneticPr fontId="12" type="noConversion"/>
  </si>
  <si>
    <t>Ineligible:Focus on usage trends</t>
    <phoneticPr fontId="12" type="noConversion"/>
  </si>
  <si>
    <t>Adarkwah, M. A.</t>
  </si>
  <si>
    <t>GenAI-infused adult learning in the digital era: A conceptual framework for higher education</t>
    <phoneticPr fontId="12" type="noConversion"/>
  </si>
  <si>
    <t>Lee, S., Jeon, J., &amp; Choe, H.</t>
  </si>
  <si>
    <t>Generative AI (GenAI) and pre-service teacher agency in ELT</t>
    <phoneticPr fontId="12" type="noConversion"/>
  </si>
  <si>
    <t>Ineligible: Focus on specific instructional design using GenAI</t>
    <phoneticPr fontId="12" type="noConversion"/>
  </si>
  <si>
    <t>Ning, Y., Zheng, H., Wu, H., Jin, Z., Chang, H., &amp; Wijaya, T. T.</t>
  </si>
  <si>
    <t>Analysis of influencing factors on teachers' AI literacy under the SOR framework: An empirical study based on PLS-SEM and fsQCA</t>
    <phoneticPr fontId="12" type="noConversion"/>
  </si>
  <si>
    <t>Ineligible: Focus on SOR model</t>
    <phoneticPr fontId="12" type="noConversion"/>
  </si>
  <si>
    <t>Wu, H., Li, D., &amp; Mo, X.</t>
  </si>
  <si>
    <t>Understanding GAI risk awareness among higher vocational education students: an AI literacy perspective</t>
    <phoneticPr fontId="12" type="noConversion"/>
  </si>
  <si>
    <t>Ineligible: Focus on the impact of Ai literacy on risk awareness</t>
    <phoneticPr fontId="12" type="noConversion"/>
  </si>
  <si>
    <t>Erdem Coşgun, G.</t>
  </si>
  <si>
    <t>Artificial intelligence literacy in assessment: Empowering pre-service teachers to design effective exam questions for language learning</t>
    <phoneticPr fontId="12" type="noConversion"/>
  </si>
  <si>
    <t>Ineligible: Focus on AI-based assessment design</t>
    <phoneticPr fontId="12" type="noConversion"/>
  </si>
  <si>
    <t>No</t>
    <phoneticPr fontId="3" type="noConversion"/>
  </si>
  <si>
    <t>Article No</t>
    <phoneticPr fontId="3" type="noConversion"/>
  </si>
  <si>
    <t>AI system design</t>
    <phoneticPr fontId="3" type="noConversion"/>
  </si>
  <si>
    <t>Expert_Modified</t>
    <phoneticPr fontId="3" type="noConversion"/>
  </si>
  <si>
    <t>Count</t>
    <phoneticPr fontId="3" type="noConversion"/>
  </si>
  <si>
    <t>sum</t>
    <phoneticPr fontId="3" type="noConversion"/>
  </si>
  <si>
    <t>ABCE_CLS_RES</t>
    <phoneticPr fontId="3" type="noConversion"/>
  </si>
  <si>
    <t>Duplications</t>
    <phoneticPr fontId="3" type="noConversion"/>
  </si>
  <si>
    <t>Remains</t>
    <phoneticPr fontId="3" type="noConversion"/>
  </si>
  <si>
    <t>Sum</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</si>
</sst>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_ "/>
  </numFmts>
  <fonts count="15">
    <font>
      <sz val="11"/>
      <color theme="1"/>
      <name val="맑은 고딕"/>
      <family val="2"/>
      <charset val="129"/>
      <scheme val="minor"/>
    </font>
    <font>
      <sz val="11"/>
      <color theme="1"/>
      <name val="맑은 고딕"/>
      <family val="2"/>
      <scheme val="minor"/>
    </font>
    <font>
      <b/>
      <sz val="10"/>
      <name val="times news romans"/>
    </font>
    <font>
      <sz val="8"/>
      <name val="맑은 고딕"/>
      <family val="2"/>
      <charset val="129"/>
      <scheme val="minor"/>
    </font>
    <font>
      <sz val="10"/>
      <color theme="1"/>
      <name val="times news romans"/>
      <family val="1"/>
    </font>
    <font>
      <sz val="10"/>
      <color rgb="FFFF0000"/>
      <name val="times news romans"/>
      <family val="1"/>
    </font>
    <font>
      <sz val="10"/>
      <name val="times news romans"/>
      <family val="1"/>
    </font>
    <font>
      <b/>
      <sz val="10"/>
      <name val="times news romans"/>
      <family val="1"/>
    </font>
    <font>
      <b/>
      <sz val="10"/>
      <color theme="1"/>
      <name val="times news romans"/>
    </font>
    <font>
      <sz val="10"/>
      <color theme="1"/>
      <name val="times news romans"/>
    </font>
    <font>
      <sz val="10"/>
      <color rgb="FF303030"/>
      <name val="times news romans"/>
      <family val="1"/>
    </font>
    <font>
      <sz val="10"/>
      <name val="Arial"/>
      <family val="2"/>
    </font>
    <font>
      <sz val="8"/>
      <name val="돋움"/>
      <family val="3"/>
      <charset val="129"/>
    </font>
    <font>
      <sz val="11"/>
      <color theme="1"/>
      <name val="맑은 고딕"/>
      <family val="2"/>
      <charset val="129"/>
      <scheme val="minor"/>
    </font>
    <font>
      <b/>
      <sz val="10"/>
      <color theme="1"/>
      <name val="times news romans"/>
      <family val="1"/>
    </font>
  </fonts>
  <fills count="6">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FFFFFF"/>
        <bgColor indexed="64"/>
      </patternFill>
    </fill>
    <fill>
      <patternFill patternType="solid">
        <fgColor theme="0"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0" fontId="1" fillId="0" borderId="0"/>
    <xf numFmtId="0" fontId="11" fillId="0" borderId="0"/>
    <xf numFmtId="0" fontId="13" fillId="0" borderId="0">
      <alignment vertical="center"/>
    </xf>
  </cellStyleXfs>
  <cellXfs count="49">
    <xf numFmtId="0" fontId="0" fillId="0" borderId="0" xfId="0">
      <alignment vertical="center"/>
    </xf>
    <xf numFmtId="0" fontId="2" fillId="2" borderId="1" xfId="1" applyFont="1" applyFill="1" applyBorder="1" applyAlignment="1">
      <alignment horizontal="center" vertical="center"/>
    </xf>
    <xf numFmtId="0" fontId="4" fillId="0" borderId="0" xfId="1" applyFont="1" applyAlignment="1">
      <alignment vertical="center"/>
    </xf>
    <xf numFmtId="0" fontId="4" fillId="3" borderId="1" xfId="1" applyFont="1" applyFill="1" applyBorder="1" applyAlignment="1">
      <alignment vertical="center"/>
    </xf>
    <xf numFmtId="0" fontId="2" fillId="0" borderId="1" xfId="1" applyFont="1" applyBorder="1" applyAlignment="1">
      <alignment horizontal="center" vertical="center"/>
    </xf>
    <xf numFmtId="0" fontId="4" fillId="0" borderId="1" xfId="1" applyFont="1" applyBorder="1" applyAlignment="1">
      <alignment vertical="center"/>
    </xf>
    <xf numFmtId="0" fontId="4" fillId="0" borderId="1" xfId="0" applyFont="1" applyBorder="1">
      <alignment vertical="center"/>
    </xf>
    <xf numFmtId="0" fontId="5" fillId="0" borderId="1" xfId="0" applyFont="1" applyBorder="1" applyAlignment="1">
      <alignment vertical="center" wrapText="1"/>
    </xf>
    <xf numFmtId="0" fontId="6" fillId="0" borderId="1" xfId="0" applyFont="1" applyBorder="1" applyAlignment="1">
      <alignment vertical="center" wrapText="1"/>
    </xf>
    <xf numFmtId="0" fontId="4" fillId="0" borderId="1" xfId="0" applyFont="1" applyBorder="1" applyAlignment="1">
      <alignment vertical="center" wrapText="1"/>
    </xf>
    <xf numFmtId="0" fontId="6" fillId="3" borderId="1" xfId="1" applyFont="1" applyFill="1" applyBorder="1" applyAlignment="1">
      <alignment vertical="center"/>
    </xf>
    <xf numFmtId="0" fontId="6" fillId="0" borderId="1" xfId="1" applyFont="1" applyBorder="1" applyAlignment="1">
      <alignment vertical="center"/>
    </xf>
    <xf numFmtId="0" fontId="2" fillId="0" borderId="1" xfId="1" applyFont="1" applyBorder="1" applyAlignment="1">
      <alignment horizontal="center" vertical="center" wrapText="1"/>
    </xf>
    <xf numFmtId="0" fontId="4" fillId="0" borderId="0" xfId="1" applyFont="1" applyAlignment="1">
      <alignment vertical="center" wrapText="1"/>
    </xf>
    <xf numFmtId="0" fontId="4" fillId="0" borderId="0" xfId="0" applyFont="1">
      <alignment vertical="center"/>
    </xf>
    <xf numFmtId="176" fontId="7" fillId="0" borderId="1" xfId="1" applyNumberFormat="1" applyFont="1" applyBorder="1" applyAlignment="1">
      <alignment horizontal="center" vertical="center"/>
    </xf>
    <xf numFmtId="176" fontId="4" fillId="0" borderId="1" xfId="1" applyNumberFormat="1" applyFont="1" applyBorder="1" applyAlignment="1">
      <alignment vertical="center"/>
    </xf>
    <xf numFmtId="176" fontId="4" fillId="0" borderId="0" xfId="1" applyNumberFormat="1" applyFont="1" applyAlignment="1">
      <alignment vertical="center"/>
    </xf>
    <xf numFmtId="0" fontId="4" fillId="0" borderId="1" xfId="1" applyFont="1" applyBorder="1" applyAlignment="1">
      <alignment vertical="center" wrapText="1"/>
    </xf>
    <xf numFmtId="0" fontId="2" fillId="2" borderId="1" xfId="1" applyFont="1" applyFill="1" applyBorder="1" applyAlignment="1">
      <alignment horizontal="center" vertical="center" wrapText="1"/>
    </xf>
    <xf numFmtId="0" fontId="4" fillId="3" borderId="1" xfId="1" applyFont="1" applyFill="1" applyBorder="1" applyAlignment="1">
      <alignment vertical="center" wrapText="1"/>
    </xf>
    <xf numFmtId="0" fontId="6" fillId="3" borderId="1" xfId="1" applyFont="1" applyFill="1" applyBorder="1" applyAlignment="1">
      <alignment vertical="center" wrapText="1"/>
    </xf>
    <xf numFmtId="0" fontId="5" fillId="0" borderId="1" xfId="1" applyFont="1" applyBorder="1" applyAlignment="1">
      <alignment vertical="center" wrapText="1"/>
    </xf>
    <xf numFmtId="176" fontId="4" fillId="0" borderId="1" xfId="1" applyNumberFormat="1" applyFont="1" applyBorder="1" applyAlignment="1">
      <alignment vertical="center" wrapText="1"/>
    </xf>
    <xf numFmtId="0" fontId="6" fillId="0" borderId="1" xfId="1" applyFont="1" applyBorder="1" applyAlignment="1">
      <alignment vertical="center" wrapText="1"/>
    </xf>
    <xf numFmtId="176" fontId="6" fillId="0" borderId="1" xfId="1" applyNumberFormat="1" applyFont="1" applyBorder="1" applyAlignment="1">
      <alignment vertical="center" wrapText="1"/>
    </xf>
    <xf numFmtId="0" fontId="6" fillId="0" borderId="0" xfId="1" applyFont="1" applyAlignment="1">
      <alignment vertical="center"/>
    </xf>
    <xf numFmtId="176" fontId="6" fillId="0" borderId="1" xfId="1" applyNumberFormat="1" applyFont="1" applyBorder="1" applyAlignment="1">
      <alignment vertical="center"/>
    </xf>
    <xf numFmtId="176" fontId="6" fillId="0" borderId="0" xfId="1" applyNumberFormat="1" applyFont="1" applyAlignment="1">
      <alignment vertical="center"/>
    </xf>
    <xf numFmtId="0" fontId="6" fillId="0" borderId="1" xfId="2" applyFont="1" applyBorder="1" applyAlignment="1">
      <alignment vertical="center"/>
    </xf>
    <xf numFmtId="0" fontId="4" fillId="0" borderId="1" xfId="3" applyFont="1" applyBorder="1" applyAlignment="1">
      <alignment vertical="center" wrapText="1"/>
    </xf>
    <xf numFmtId="0" fontId="10" fillId="4" borderId="1" xfId="3" quotePrefix="1" applyFont="1" applyFill="1" applyBorder="1" applyAlignment="1">
      <alignment vertical="center" wrapText="1"/>
    </xf>
    <xf numFmtId="0" fontId="4" fillId="0" borderId="1" xfId="3" quotePrefix="1" applyFont="1" applyBorder="1" applyAlignment="1">
      <alignment vertical="center" wrapText="1"/>
    </xf>
    <xf numFmtId="0" fontId="4" fillId="0" borderId="0" xfId="3" applyFont="1" applyAlignment="1">
      <alignment vertical="center" wrapText="1"/>
    </xf>
    <xf numFmtId="0" fontId="2" fillId="5" borderId="1" xfId="2" applyFont="1" applyFill="1" applyBorder="1" applyAlignment="1">
      <alignment horizontal="center" vertical="center"/>
    </xf>
    <xf numFmtId="0" fontId="7" fillId="5" borderId="1" xfId="2" applyFont="1" applyFill="1" applyBorder="1" applyAlignment="1">
      <alignment horizontal="center" vertical="center" wrapText="1"/>
    </xf>
    <xf numFmtId="0" fontId="2" fillId="5" borderId="1" xfId="2" applyFont="1" applyFill="1" applyBorder="1" applyAlignment="1">
      <alignment horizontal="center" vertical="center" wrapText="1"/>
    </xf>
    <xf numFmtId="0" fontId="6" fillId="0" borderId="0" xfId="2" applyFont="1" applyAlignment="1">
      <alignment vertical="center"/>
    </xf>
    <xf numFmtId="0" fontId="6" fillId="0" borderId="1" xfId="2" applyFont="1" applyBorder="1" applyAlignment="1">
      <alignment vertical="center" wrapText="1"/>
    </xf>
    <xf numFmtId="0" fontId="6" fillId="0" borderId="0" xfId="2" applyFont="1" applyAlignment="1">
      <alignment vertical="center" wrapText="1"/>
    </xf>
    <xf numFmtId="0" fontId="10" fillId="0" borderId="1" xfId="3" applyFont="1" applyBorder="1" applyAlignment="1">
      <alignment vertical="center" wrapText="1"/>
    </xf>
    <xf numFmtId="0" fontId="4" fillId="0" borderId="1" xfId="3" applyFont="1" applyBorder="1" applyAlignment="1">
      <alignment horizontal="center" vertical="center" wrapText="1"/>
    </xf>
    <xf numFmtId="0" fontId="4" fillId="0" borderId="0" xfId="3" applyFont="1">
      <alignment vertical="center"/>
    </xf>
    <xf numFmtId="0" fontId="9" fillId="0" borderId="1" xfId="3" applyFont="1" applyBorder="1" applyAlignment="1">
      <alignment horizontal="center" vertical="center" wrapText="1"/>
    </xf>
    <xf numFmtId="0" fontId="8" fillId="0" borderId="1" xfId="1" applyFont="1" applyBorder="1" applyAlignment="1">
      <alignment horizontal="center" vertical="center"/>
    </xf>
    <xf numFmtId="0" fontId="4" fillId="3" borderId="1" xfId="0" applyFont="1" applyFill="1" applyBorder="1">
      <alignment vertical="center"/>
    </xf>
    <xf numFmtId="0" fontId="2" fillId="5" borderId="1" xfId="1" applyFont="1" applyFill="1" applyBorder="1" applyAlignment="1">
      <alignment horizontal="center" vertical="center" wrapText="1"/>
    </xf>
    <xf numFmtId="0" fontId="14" fillId="5" borderId="1" xfId="0" applyFont="1" applyFill="1" applyBorder="1" applyAlignment="1">
      <alignment horizontal="center" vertical="center"/>
    </xf>
    <xf numFmtId="0" fontId="7" fillId="5" borderId="1" xfId="1" applyFont="1" applyFill="1" applyBorder="1" applyAlignment="1">
      <alignment vertical="center" wrapText="1"/>
    </xf>
  </cellXfs>
  <cellStyles count="4">
    <cellStyle name="표준" xfId="0" builtinId="0"/>
    <cellStyle name="표준 2" xfId="1" xr:uid="{A204CC6F-FB66-41E0-994A-BE3D7FF3AABB}"/>
    <cellStyle name="표준 2 2" xfId="3" xr:uid="{AC882404-5F11-4CC0-BF7E-8AB98E0AC21D}"/>
    <cellStyle name="표준 3" xfId="2" xr:uid="{03123A50-360D-4112-86EF-C2D4A38FEA07}"/>
  </cellStyles>
  <dxfs count="61">
    <dxf>
      <fill>
        <patternFill>
          <bgColor theme="9" tint="0.79998168889431442"/>
        </patternFill>
      </fill>
    </dxf>
    <dxf>
      <fill>
        <patternFill>
          <bgColor theme="8" tint="0.79998168889431442"/>
        </patternFill>
      </fill>
    </dxf>
    <dxf>
      <fill>
        <patternFill>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7" tint="0.79998168889431442"/>
        </patternFill>
      </fill>
    </dxf>
    <dxf>
      <fill>
        <patternFill>
          <bgColor theme="5" tint="0.79998168889431442"/>
        </patternFill>
      </fill>
    </dxf>
    <dxf>
      <fill>
        <patternFill>
          <bgColor theme="7"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8154E-0629-46A7-A352-C142B854EC44}">
  <sheetPr>
    <tabColor rgb="FFFFFF00"/>
  </sheetPr>
  <dimension ref="A1:M396"/>
  <sheetViews>
    <sheetView topLeftCell="A226" zoomScaleNormal="100" workbookViewId="0">
      <selection activeCell="D239" sqref="D239"/>
    </sheetView>
  </sheetViews>
  <sheetFormatPr defaultColWidth="8" defaultRowHeight="13.2"/>
  <cols>
    <col min="1" max="1" width="5.19921875" style="37" customWidth="1"/>
    <col min="2" max="2" width="9.69921875" style="39" customWidth="1"/>
    <col min="3" max="3" width="9.69921875" style="37" customWidth="1"/>
    <col min="4" max="4" width="45.69921875" style="37" customWidth="1"/>
    <col min="5" max="6" width="7.5" style="37" customWidth="1"/>
    <col min="7" max="7" width="12" style="37" customWidth="1"/>
    <col min="8" max="8" width="9.69921875" style="37" customWidth="1"/>
    <col min="9" max="10" width="12" style="37" customWidth="1"/>
    <col min="11" max="11" width="14.19921875" style="37" customWidth="1"/>
    <col min="12" max="12" width="32.19921875" style="39" customWidth="1"/>
    <col min="13" max="13" width="5.19921875" style="37" customWidth="1"/>
    <col min="14" max="16384" width="8" style="37"/>
  </cols>
  <sheetData>
    <row r="1" spans="1:13" ht="52.8">
      <c r="A1" s="34" t="s">
        <v>1513</v>
      </c>
      <c r="B1" s="35" t="s">
        <v>1521</v>
      </c>
      <c r="C1" s="34" t="s">
        <v>465</v>
      </c>
      <c r="D1" s="34" t="s">
        <v>1522</v>
      </c>
      <c r="E1" s="35" t="s">
        <v>1523</v>
      </c>
      <c r="F1" s="34" t="s">
        <v>1514</v>
      </c>
      <c r="G1" s="34" t="s">
        <v>466</v>
      </c>
      <c r="H1" s="35" t="s">
        <v>1524</v>
      </c>
      <c r="I1" s="35" t="s">
        <v>1525</v>
      </c>
      <c r="J1" s="35" t="s">
        <v>1526</v>
      </c>
      <c r="K1" s="35" t="s">
        <v>1527</v>
      </c>
      <c r="L1" s="36" t="s">
        <v>1528</v>
      </c>
      <c r="M1" s="34" t="s">
        <v>1513</v>
      </c>
    </row>
    <row r="2" spans="1:13">
      <c r="A2" s="29">
        <v>1</v>
      </c>
      <c r="B2" s="38" t="s">
        <v>1529</v>
      </c>
      <c r="C2" s="29" t="s">
        <v>468</v>
      </c>
      <c r="D2" s="29" t="s">
        <v>1530</v>
      </c>
      <c r="E2" s="29">
        <v>0</v>
      </c>
      <c r="F2" s="29" t="s">
        <v>1516</v>
      </c>
      <c r="G2" s="29" t="s">
        <v>469</v>
      </c>
      <c r="H2" s="29">
        <v>2020</v>
      </c>
      <c r="I2" s="29" t="s">
        <v>1531</v>
      </c>
      <c r="J2" s="29"/>
      <c r="K2" s="29"/>
      <c r="L2" s="38" t="s">
        <v>1532</v>
      </c>
      <c r="M2" s="29">
        <v>1</v>
      </c>
    </row>
    <row r="3" spans="1:13">
      <c r="A3" s="29">
        <v>2</v>
      </c>
      <c r="B3" s="38" t="s">
        <v>464</v>
      </c>
      <c r="C3" s="29" t="s">
        <v>470</v>
      </c>
      <c r="D3" s="29" t="s">
        <v>1533</v>
      </c>
      <c r="E3" s="29">
        <v>0</v>
      </c>
      <c r="F3" s="29" t="s">
        <v>1515</v>
      </c>
      <c r="G3" s="29" t="s">
        <v>471</v>
      </c>
      <c r="H3" s="29">
        <v>2020</v>
      </c>
      <c r="I3" s="29" t="s">
        <v>1531</v>
      </c>
      <c r="J3" s="29"/>
      <c r="K3" s="29"/>
      <c r="L3" s="38" t="s">
        <v>1534</v>
      </c>
      <c r="M3" s="29">
        <v>2</v>
      </c>
    </row>
    <row r="4" spans="1:13">
      <c r="A4" s="29">
        <v>3</v>
      </c>
      <c r="B4" s="38" t="s">
        <v>467</v>
      </c>
      <c r="C4" s="29" t="s">
        <v>472</v>
      </c>
      <c r="D4" s="29" t="s">
        <v>473</v>
      </c>
      <c r="E4" s="29">
        <v>0</v>
      </c>
      <c r="F4" s="29" t="s">
        <v>1515</v>
      </c>
      <c r="G4" s="29" t="s">
        <v>474</v>
      </c>
      <c r="H4" s="29">
        <v>2020</v>
      </c>
      <c r="I4" s="29" t="s">
        <v>1531</v>
      </c>
      <c r="J4" s="29"/>
      <c r="K4" s="29"/>
      <c r="L4" s="38" t="s">
        <v>1534</v>
      </c>
      <c r="M4" s="29">
        <v>3</v>
      </c>
    </row>
    <row r="5" spans="1:13">
      <c r="A5" s="29">
        <v>4</v>
      </c>
      <c r="B5" s="38" t="s">
        <v>467</v>
      </c>
      <c r="C5" s="29" t="s">
        <v>475</v>
      </c>
      <c r="D5" s="29" t="s">
        <v>476</v>
      </c>
      <c r="E5" s="29">
        <v>0</v>
      </c>
      <c r="F5" s="29" t="s">
        <v>1515</v>
      </c>
      <c r="G5" s="29" t="s">
        <v>477</v>
      </c>
      <c r="H5" s="29">
        <v>2020</v>
      </c>
      <c r="I5" s="29" t="s">
        <v>1531</v>
      </c>
      <c r="J5" s="29"/>
      <c r="K5" s="29"/>
      <c r="L5" s="38" t="s">
        <v>1534</v>
      </c>
      <c r="M5" s="29">
        <v>4</v>
      </c>
    </row>
    <row r="6" spans="1:13">
      <c r="A6" s="29">
        <v>5</v>
      </c>
      <c r="B6" s="38" t="s">
        <v>464</v>
      </c>
      <c r="C6" s="29" t="s">
        <v>478</v>
      </c>
      <c r="D6" s="29" t="s">
        <v>479</v>
      </c>
      <c r="E6" s="29">
        <v>0</v>
      </c>
      <c r="F6" s="29" t="s">
        <v>1515</v>
      </c>
      <c r="G6" s="29" t="s">
        <v>480</v>
      </c>
      <c r="H6" s="29">
        <v>2020</v>
      </c>
      <c r="I6" s="29" t="s">
        <v>1531</v>
      </c>
      <c r="J6" s="29"/>
      <c r="K6" s="29"/>
      <c r="L6" s="38" t="s">
        <v>1534</v>
      </c>
      <c r="M6" s="29">
        <v>5</v>
      </c>
    </row>
    <row r="7" spans="1:13">
      <c r="A7" s="29">
        <v>6</v>
      </c>
      <c r="B7" s="38" t="s">
        <v>464</v>
      </c>
      <c r="C7" s="29" t="s">
        <v>481</v>
      </c>
      <c r="D7" s="29" t="s">
        <v>482</v>
      </c>
      <c r="E7" s="29">
        <v>0</v>
      </c>
      <c r="F7" s="29" t="s">
        <v>1515</v>
      </c>
      <c r="G7" s="29" t="s">
        <v>483</v>
      </c>
      <c r="H7" s="29">
        <v>2020</v>
      </c>
      <c r="I7" s="29" t="s">
        <v>1531</v>
      </c>
      <c r="J7" s="29"/>
      <c r="K7" s="29"/>
      <c r="L7" s="38" t="s">
        <v>1534</v>
      </c>
      <c r="M7" s="29">
        <v>6</v>
      </c>
    </row>
    <row r="8" spans="1:13">
      <c r="A8" s="29">
        <v>7</v>
      </c>
      <c r="B8" s="38" t="s">
        <v>464</v>
      </c>
      <c r="C8" s="29" t="s">
        <v>484</v>
      </c>
      <c r="D8" s="29" t="s">
        <v>1535</v>
      </c>
      <c r="E8" s="29">
        <v>1</v>
      </c>
      <c r="F8" s="29" t="s">
        <v>1515</v>
      </c>
      <c r="G8" s="29" t="s">
        <v>485</v>
      </c>
      <c r="H8" s="29">
        <v>2020</v>
      </c>
      <c r="I8" s="29" t="s">
        <v>1536</v>
      </c>
      <c r="J8" s="29" t="s">
        <v>1536</v>
      </c>
      <c r="K8" s="29" t="s">
        <v>1536</v>
      </c>
      <c r="L8" s="38"/>
      <c r="M8" s="29">
        <v>7</v>
      </c>
    </row>
    <row r="9" spans="1:13">
      <c r="A9" s="29">
        <v>8</v>
      </c>
      <c r="B9" s="38" t="s">
        <v>467</v>
      </c>
      <c r="C9" s="29" t="s">
        <v>486</v>
      </c>
      <c r="D9" s="29" t="s">
        <v>487</v>
      </c>
      <c r="E9" s="29">
        <v>0</v>
      </c>
      <c r="F9" s="29" t="s">
        <v>1515</v>
      </c>
      <c r="G9" s="29" t="s">
        <v>488</v>
      </c>
      <c r="H9" s="29">
        <v>2020</v>
      </c>
      <c r="I9" s="29" t="s">
        <v>1531</v>
      </c>
      <c r="J9" s="29"/>
      <c r="K9" s="29"/>
      <c r="L9" s="38" t="s">
        <v>1534</v>
      </c>
      <c r="M9" s="29">
        <v>8</v>
      </c>
    </row>
    <row r="10" spans="1:13">
      <c r="A10" s="29">
        <v>9</v>
      </c>
      <c r="B10" s="38" t="s">
        <v>467</v>
      </c>
      <c r="C10" s="29" t="s">
        <v>489</v>
      </c>
      <c r="D10" s="29" t="s">
        <v>1537</v>
      </c>
      <c r="E10" s="29">
        <v>0</v>
      </c>
      <c r="F10" s="29" t="s">
        <v>1515</v>
      </c>
      <c r="G10" s="29" t="s">
        <v>490</v>
      </c>
      <c r="H10" s="29">
        <v>2020</v>
      </c>
      <c r="I10" s="29" t="s">
        <v>1536</v>
      </c>
      <c r="J10" s="29" t="s">
        <v>1531</v>
      </c>
      <c r="K10" s="29"/>
      <c r="L10" s="38" t="s">
        <v>1538</v>
      </c>
      <c r="M10" s="29">
        <v>9</v>
      </c>
    </row>
    <row r="11" spans="1:13">
      <c r="A11" s="29">
        <v>10</v>
      </c>
      <c r="B11" s="38" t="s">
        <v>467</v>
      </c>
      <c r="C11" s="29" t="s">
        <v>491</v>
      </c>
      <c r="D11" s="29" t="s">
        <v>492</v>
      </c>
      <c r="E11" s="29">
        <v>0</v>
      </c>
      <c r="F11" s="29" t="s">
        <v>1515</v>
      </c>
      <c r="G11" s="29" t="s">
        <v>493</v>
      </c>
      <c r="H11" s="29">
        <v>2020</v>
      </c>
      <c r="I11" s="29" t="s">
        <v>1531</v>
      </c>
      <c r="J11" s="29"/>
      <c r="K11" s="29"/>
      <c r="L11" s="38" t="s">
        <v>1534</v>
      </c>
      <c r="M11" s="29">
        <v>10</v>
      </c>
    </row>
    <row r="12" spans="1:13">
      <c r="A12" s="29">
        <v>11</v>
      </c>
      <c r="B12" s="38" t="s">
        <v>467</v>
      </c>
      <c r="C12" s="29" t="s">
        <v>494</v>
      </c>
      <c r="D12" s="29" t="s">
        <v>495</v>
      </c>
      <c r="E12" s="29">
        <v>0</v>
      </c>
      <c r="F12" s="29" t="s">
        <v>1515</v>
      </c>
      <c r="G12" s="29" t="s">
        <v>496</v>
      </c>
      <c r="H12" s="29">
        <v>2020</v>
      </c>
      <c r="I12" s="29" t="s">
        <v>1531</v>
      </c>
      <c r="J12" s="29"/>
      <c r="K12" s="29"/>
      <c r="L12" s="38" t="s">
        <v>1534</v>
      </c>
      <c r="M12" s="29">
        <v>11</v>
      </c>
    </row>
    <row r="13" spans="1:13">
      <c r="A13" s="29">
        <v>12</v>
      </c>
      <c r="B13" s="38" t="s">
        <v>467</v>
      </c>
      <c r="C13" s="29" t="s">
        <v>497</v>
      </c>
      <c r="D13" s="29" t="s">
        <v>498</v>
      </c>
      <c r="E13" s="29">
        <v>0</v>
      </c>
      <c r="F13" s="29" t="s">
        <v>1515</v>
      </c>
      <c r="G13" s="29" t="s">
        <v>499</v>
      </c>
      <c r="H13" s="29">
        <v>2020</v>
      </c>
      <c r="I13" s="29" t="s">
        <v>1531</v>
      </c>
      <c r="J13" s="29"/>
      <c r="K13" s="29"/>
      <c r="L13" s="38" t="s">
        <v>1534</v>
      </c>
      <c r="M13" s="29">
        <v>12</v>
      </c>
    </row>
    <row r="14" spans="1:13">
      <c r="A14" s="29">
        <v>13</v>
      </c>
      <c r="B14" s="38" t="s">
        <v>467</v>
      </c>
      <c r="C14" s="29" t="s">
        <v>500</v>
      </c>
      <c r="D14" s="29" t="s">
        <v>1539</v>
      </c>
      <c r="E14" s="29">
        <v>0</v>
      </c>
      <c r="F14" s="29" t="s">
        <v>1515</v>
      </c>
      <c r="G14" s="29" t="s">
        <v>501</v>
      </c>
      <c r="H14" s="29">
        <v>2020</v>
      </c>
      <c r="I14" s="29" t="s">
        <v>1531</v>
      </c>
      <c r="J14" s="29"/>
      <c r="K14" s="29"/>
      <c r="L14" s="38" t="s">
        <v>1534</v>
      </c>
      <c r="M14" s="29">
        <v>13</v>
      </c>
    </row>
    <row r="15" spans="1:13">
      <c r="A15" s="29">
        <v>14</v>
      </c>
      <c r="B15" s="38" t="s">
        <v>464</v>
      </c>
      <c r="C15" s="29" t="s">
        <v>502</v>
      </c>
      <c r="D15" s="29" t="s">
        <v>503</v>
      </c>
      <c r="E15" s="29">
        <v>1</v>
      </c>
      <c r="F15" s="29" t="s">
        <v>1515</v>
      </c>
      <c r="G15" s="29" t="s">
        <v>504</v>
      </c>
      <c r="H15" s="29">
        <v>2021</v>
      </c>
      <c r="I15" s="29" t="s">
        <v>1536</v>
      </c>
      <c r="J15" s="29" t="s">
        <v>1536</v>
      </c>
      <c r="K15" s="29" t="s">
        <v>1536</v>
      </c>
      <c r="L15" s="38"/>
      <c r="M15" s="29">
        <v>14</v>
      </c>
    </row>
    <row r="16" spans="1:13">
      <c r="A16" s="29">
        <v>15</v>
      </c>
      <c r="B16" s="38" t="s">
        <v>464</v>
      </c>
      <c r="C16" s="29" t="s">
        <v>505</v>
      </c>
      <c r="D16" s="29" t="s">
        <v>506</v>
      </c>
      <c r="E16" s="29">
        <v>0</v>
      </c>
      <c r="F16" s="29" t="s">
        <v>1515</v>
      </c>
      <c r="G16" s="29" t="s">
        <v>507</v>
      </c>
      <c r="H16" s="29">
        <v>2021</v>
      </c>
      <c r="I16" s="29" t="s">
        <v>1531</v>
      </c>
      <c r="J16" s="29"/>
      <c r="K16" s="29"/>
      <c r="L16" s="38" t="s">
        <v>1534</v>
      </c>
      <c r="M16" s="29">
        <v>15</v>
      </c>
    </row>
    <row r="17" spans="1:13">
      <c r="A17" s="29">
        <v>16</v>
      </c>
      <c r="B17" s="38" t="s">
        <v>464</v>
      </c>
      <c r="C17" s="29" t="s">
        <v>508</v>
      </c>
      <c r="D17" s="29" t="s">
        <v>509</v>
      </c>
      <c r="E17" s="29">
        <v>0</v>
      </c>
      <c r="F17" s="29" t="s">
        <v>1515</v>
      </c>
      <c r="G17" s="29" t="s">
        <v>510</v>
      </c>
      <c r="H17" s="29">
        <v>2021</v>
      </c>
      <c r="I17" s="29" t="s">
        <v>1531</v>
      </c>
      <c r="J17" s="29"/>
      <c r="K17" s="29"/>
      <c r="L17" s="38" t="s">
        <v>1534</v>
      </c>
      <c r="M17" s="29">
        <v>16</v>
      </c>
    </row>
    <row r="18" spans="1:13">
      <c r="A18" s="29">
        <v>17</v>
      </c>
      <c r="B18" s="38" t="s">
        <v>467</v>
      </c>
      <c r="C18" s="29" t="s">
        <v>511</v>
      </c>
      <c r="D18" s="29" t="s">
        <v>512</v>
      </c>
      <c r="E18" s="29">
        <v>0</v>
      </c>
      <c r="F18" s="29" t="s">
        <v>1515</v>
      </c>
      <c r="G18" s="29" t="s">
        <v>513</v>
      </c>
      <c r="H18" s="29">
        <v>2021</v>
      </c>
      <c r="I18" s="29" t="s">
        <v>1531</v>
      </c>
      <c r="J18" s="29"/>
      <c r="K18" s="29"/>
      <c r="L18" s="38" t="s">
        <v>1534</v>
      </c>
      <c r="M18" s="29">
        <v>17</v>
      </c>
    </row>
    <row r="19" spans="1:13">
      <c r="A19" s="29">
        <v>18</v>
      </c>
      <c r="B19" s="38" t="s">
        <v>464</v>
      </c>
      <c r="C19" s="29" t="s">
        <v>514</v>
      </c>
      <c r="D19" s="29" t="s">
        <v>515</v>
      </c>
      <c r="E19" s="29">
        <v>0</v>
      </c>
      <c r="F19" s="29" t="s">
        <v>1515</v>
      </c>
      <c r="G19" s="29" t="s">
        <v>516</v>
      </c>
      <c r="H19" s="29">
        <v>2021</v>
      </c>
      <c r="I19" s="29" t="s">
        <v>1531</v>
      </c>
      <c r="J19" s="29"/>
      <c r="K19" s="29"/>
      <c r="L19" s="38" t="s">
        <v>1534</v>
      </c>
      <c r="M19" s="29">
        <v>18</v>
      </c>
    </row>
    <row r="20" spans="1:13">
      <c r="A20" s="29">
        <v>19</v>
      </c>
      <c r="B20" s="38" t="s">
        <v>464</v>
      </c>
      <c r="C20" s="29" t="s">
        <v>517</v>
      </c>
      <c r="D20" s="29" t="s">
        <v>518</v>
      </c>
      <c r="E20" s="29">
        <v>0</v>
      </c>
      <c r="F20" s="29" t="s">
        <v>1515</v>
      </c>
      <c r="G20" s="29" t="s">
        <v>519</v>
      </c>
      <c r="H20" s="29">
        <v>2021</v>
      </c>
      <c r="I20" s="29" t="s">
        <v>1531</v>
      </c>
      <c r="J20" s="29"/>
      <c r="K20" s="29"/>
      <c r="L20" s="38" t="s">
        <v>1534</v>
      </c>
      <c r="M20" s="29">
        <v>19</v>
      </c>
    </row>
    <row r="21" spans="1:13">
      <c r="A21" s="29">
        <v>20</v>
      </c>
      <c r="B21" s="38" t="s">
        <v>467</v>
      </c>
      <c r="C21" s="29" t="s">
        <v>520</v>
      </c>
      <c r="D21" s="29" t="s">
        <v>521</v>
      </c>
      <c r="E21" s="29">
        <v>0</v>
      </c>
      <c r="F21" s="29" t="s">
        <v>1515</v>
      </c>
      <c r="G21" s="29" t="s">
        <v>522</v>
      </c>
      <c r="H21" s="29">
        <v>2021</v>
      </c>
      <c r="I21" s="29" t="s">
        <v>1536</v>
      </c>
      <c r="J21" s="29" t="s">
        <v>1531</v>
      </c>
      <c r="K21" s="29"/>
      <c r="L21" s="38" t="s">
        <v>1540</v>
      </c>
      <c r="M21" s="29">
        <v>20</v>
      </c>
    </row>
    <row r="22" spans="1:13">
      <c r="A22" s="29">
        <v>21</v>
      </c>
      <c r="B22" s="38" t="s">
        <v>464</v>
      </c>
      <c r="C22" s="29" t="s">
        <v>523</v>
      </c>
      <c r="D22" s="29" t="s">
        <v>1541</v>
      </c>
      <c r="E22" s="29">
        <v>0</v>
      </c>
      <c r="F22" s="29" t="s">
        <v>1515</v>
      </c>
      <c r="G22" s="29" t="s">
        <v>524</v>
      </c>
      <c r="H22" s="29">
        <v>2021</v>
      </c>
      <c r="I22" s="29" t="s">
        <v>1536</v>
      </c>
      <c r="J22" s="29" t="s">
        <v>1531</v>
      </c>
      <c r="K22" s="29"/>
      <c r="L22" s="38" t="s">
        <v>1542</v>
      </c>
      <c r="M22" s="29">
        <v>21</v>
      </c>
    </row>
    <row r="23" spans="1:13">
      <c r="A23" s="29">
        <v>22</v>
      </c>
      <c r="B23" s="38" t="s">
        <v>464</v>
      </c>
      <c r="C23" s="29" t="s">
        <v>525</v>
      </c>
      <c r="D23" s="29" t="s">
        <v>526</v>
      </c>
      <c r="E23" s="29">
        <v>0</v>
      </c>
      <c r="F23" s="29" t="s">
        <v>1515</v>
      </c>
      <c r="G23" s="29" t="s">
        <v>527</v>
      </c>
      <c r="H23" s="29">
        <v>2021</v>
      </c>
      <c r="I23" s="29" t="s">
        <v>1536</v>
      </c>
      <c r="J23" s="29" t="s">
        <v>1531</v>
      </c>
      <c r="K23" s="29"/>
      <c r="L23" s="38" t="s">
        <v>1543</v>
      </c>
      <c r="M23" s="29">
        <v>22</v>
      </c>
    </row>
    <row r="24" spans="1:13">
      <c r="A24" s="29">
        <v>23</v>
      </c>
      <c r="B24" s="38" t="s">
        <v>467</v>
      </c>
      <c r="C24" s="29" t="s">
        <v>528</v>
      </c>
      <c r="D24" s="29" t="s">
        <v>529</v>
      </c>
      <c r="E24" s="29">
        <v>0</v>
      </c>
      <c r="F24" s="29" t="s">
        <v>1515</v>
      </c>
      <c r="G24" s="29" t="s">
        <v>530</v>
      </c>
      <c r="H24" s="29">
        <v>2021</v>
      </c>
      <c r="I24" s="29" t="s">
        <v>1531</v>
      </c>
      <c r="J24" s="29"/>
      <c r="K24" s="29"/>
      <c r="L24" s="38" t="s">
        <v>1534</v>
      </c>
      <c r="M24" s="29">
        <v>23</v>
      </c>
    </row>
    <row r="25" spans="1:13">
      <c r="A25" s="29">
        <v>24</v>
      </c>
      <c r="B25" s="38" t="s">
        <v>467</v>
      </c>
      <c r="C25" s="29" t="s">
        <v>531</v>
      </c>
      <c r="D25" s="29" t="s">
        <v>532</v>
      </c>
      <c r="E25" s="29">
        <v>0</v>
      </c>
      <c r="F25" s="29" t="s">
        <v>1515</v>
      </c>
      <c r="G25" s="29" t="s">
        <v>533</v>
      </c>
      <c r="H25" s="29">
        <v>2021</v>
      </c>
      <c r="I25" s="29" t="s">
        <v>1531</v>
      </c>
      <c r="J25" s="29"/>
      <c r="K25" s="29"/>
      <c r="L25" s="38" t="s">
        <v>1534</v>
      </c>
      <c r="M25" s="29">
        <v>24</v>
      </c>
    </row>
    <row r="26" spans="1:13">
      <c r="A26" s="29">
        <v>25</v>
      </c>
      <c r="B26" s="38" t="s">
        <v>467</v>
      </c>
      <c r="C26" s="29" t="s">
        <v>534</v>
      </c>
      <c r="D26" s="29" t="s">
        <v>535</v>
      </c>
      <c r="E26" s="29">
        <v>0</v>
      </c>
      <c r="F26" s="29" t="s">
        <v>1515</v>
      </c>
      <c r="G26" s="29" t="s">
        <v>536</v>
      </c>
      <c r="H26" s="29">
        <v>2021</v>
      </c>
      <c r="I26" s="29" t="s">
        <v>1531</v>
      </c>
      <c r="J26" s="29"/>
      <c r="K26" s="29"/>
      <c r="L26" s="38" t="s">
        <v>1534</v>
      </c>
      <c r="M26" s="29">
        <v>25</v>
      </c>
    </row>
    <row r="27" spans="1:13">
      <c r="A27" s="29">
        <v>26</v>
      </c>
      <c r="B27" s="38" t="s">
        <v>467</v>
      </c>
      <c r="C27" s="29" t="s">
        <v>537</v>
      </c>
      <c r="D27" s="29" t="s">
        <v>538</v>
      </c>
      <c r="E27" s="29">
        <v>0</v>
      </c>
      <c r="F27" s="29" t="s">
        <v>1515</v>
      </c>
      <c r="G27" s="29" t="s">
        <v>539</v>
      </c>
      <c r="H27" s="29">
        <v>2021</v>
      </c>
      <c r="I27" s="29" t="s">
        <v>1536</v>
      </c>
      <c r="J27" s="29" t="s">
        <v>1531</v>
      </c>
      <c r="K27" s="29"/>
      <c r="L27" s="38" t="s">
        <v>1544</v>
      </c>
      <c r="M27" s="29">
        <v>26</v>
      </c>
    </row>
    <row r="28" spans="1:13">
      <c r="A28" s="29">
        <v>27</v>
      </c>
      <c r="B28" s="38" t="s">
        <v>467</v>
      </c>
      <c r="C28" s="29" t="s">
        <v>540</v>
      </c>
      <c r="D28" s="29" t="s">
        <v>541</v>
      </c>
      <c r="E28" s="29">
        <v>1</v>
      </c>
      <c r="F28" s="29" t="s">
        <v>1515</v>
      </c>
      <c r="G28" s="29" t="s">
        <v>542</v>
      </c>
      <c r="H28" s="29">
        <v>2021</v>
      </c>
      <c r="I28" s="29" t="s">
        <v>1536</v>
      </c>
      <c r="J28" s="29" t="s">
        <v>1536</v>
      </c>
      <c r="K28" s="29" t="s">
        <v>1536</v>
      </c>
      <c r="L28" s="38"/>
      <c r="M28" s="29">
        <v>27</v>
      </c>
    </row>
    <row r="29" spans="1:13">
      <c r="A29" s="29">
        <v>28</v>
      </c>
      <c r="B29" s="38" t="s">
        <v>467</v>
      </c>
      <c r="C29" s="29" t="s">
        <v>543</v>
      </c>
      <c r="D29" s="29" t="s">
        <v>544</v>
      </c>
      <c r="E29" s="29">
        <v>0</v>
      </c>
      <c r="F29" s="29" t="s">
        <v>1515</v>
      </c>
      <c r="G29" s="29" t="s">
        <v>545</v>
      </c>
      <c r="H29" s="29">
        <v>2021</v>
      </c>
      <c r="I29" s="29" t="s">
        <v>1531</v>
      </c>
      <c r="J29" s="29"/>
      <c r="K29" s="29"/>
      <c r="L29" s="38" t="s">
        <v>1534</v>
      </c>
      <c r="M29" s="29">
        <v>28</v>
      </c>
    </row>
    <row r="30" spans="1:13">
      <c r="A30" s="29">
        <v>29</v>
      </c>
      <c r="B30" s="38" t="s">
        <v>467</v>
      </c>
      <c r="C30" s="29" t="s">
        <v>546</v>
      </c>
      <c r="D30" s="29" t="s">
        <v>547</v>
      </c>
      <c r="E30" s="29">
        <v>0</v>
      </c>
      <c r="F30" s="29" t="s">
        <v>1515</v>
      </c>
      <c r="G30" s="29" t="s">
        <v>548</v>
      </c>
      <c r="H30" s="29">
        <v>2021</v>
      </c>
      <c r="I30" s="29" t="s">
        <v>1536</v>
      </c>
      <c r="J30" s="29" t="s">
        <v>1531</v>
      </c>
      <c r="K30" s="29"/>
      <c r="L30" s="38" t="s">
        <v>1544</v>
      </c>
      <c r="M30" s="29">
        <v>29</v>
      </c>
    </row>
    <row r="31" spans="1:13">
      <c r="A31" s="29">
        <v>30</v>
      </c>
      <c r="B31" s="38" t="s">
        <v>467</v>
      </c>
      <c r="C31" s="29" t="s">
        <v>549</v>
      </c>
      <c r="D31" s="29" t="s">
        <v>550</v>
      </c>
      <c r="E31" s="29">
        <v>0</v>
      </c>
      <c r="F31" s="29" t="s">
        <v>1515</v>
      </c>
      <c r="G31" s="29" t="s">
        <v>551</v>
      </c>
      <c r="H31" s="29">
        <v>2021</v>
      </c>
      <c r="I31" s="29" t="s">
        <v>1531</v>
      </c>
      <c r="J31" s="29"/>
      <c r="K31" s="29"/>
      <c r="L31" s="38" t="s">
        <v>1534</v>
      </c>
      <c r="M31" s="29">
        <v>30</v>
      </c>
    </row>
    <row r="32" spans="1:13">
      <c r="A32" s="29">
        <v>31</v>
      </c>
      <c r="B32" s="38" t="s">
        <v>464</v>
      </c>
      <c r="C32" s="29" t="s">
        <v>552</v>
      </c>
      <c r="D32" s="29" t="s">
        <v>553</v>
      </c>
      <c r="E32" s="29">
        <v>0</v>
      </c>
      <c r="F32" s="29" t="s">
        <v>1515</v>
      </c>
      <c r="G32" s="29" t="s">
        <v>554</v>
      </c>
      <c r="H32" s="29">
        <v>2022</v>
      </c>
      <c r="I32" s="29" t="s">
        <v>1531</v>
      </c>
      <c r="J32" s="29"/>
      <c r="K32" s="29"/>
      <c r="L32" s="38" t="s">
        <v>1534</v>
      </c>
      <c r="M32" s="29">
        <v>31</v>
      </c>
    </row>
    <row r="33" spans="1:13">
      <c r="A33" s="29">
        <v>32</v>
      </c>
      <c r="B33" s="38" t="s">
        <v>464</v>
      </c>
      <c r="C33" s="29" t="s">
        <v>555</v>
      </c>
      <c r="D33" s="29" t="s">
        <v>556</v>
      </c>
      <c r="E33" s="29">
        <v>0</v>
      </c>
      <c r="F33" s="29" t="s">
        <v>1515</v>
      </c>
      <c r="G33" s="29" t="s">
        <v>554</v>
      </c>
      <c r="H33" s="29">
        <v>2022</v>
      </c>
      <c r="I33" s="29" t="s">
        <v>1531</v>
      </c>
      <c r="J33" s="29"/>
      <c r="K33" s="29"/>
      <c r="L33" s="38" t="s">
        <v>1534</v>
      </c>
      <c r="M33" s="29">
        <v>32</v>
      </c>
    </row>
    <row r="34" spans="1:13">
      <c r="A34" s="29">
        <v>33</v>
      </c>
      <c r="B34" s="38" t="s">
        <v>464</v>
      </c>
      <c r="C34" s="29" t="s">
        <v>557</v>
      </c>
      <c r="D34" s="29" t="s">
        <v>558</v>
      </c>
      <c r="E34" s="29">
        <v>0</v>
      </c>
      <c r="F34" s="29" t="s">
        <v>1515</v>
      </c>
      <c r="G34" s="29" t="s">
        <v>559</v>
      </c>
      <c r="H34" s="29">
        <v>2022</v>
      </c>
      <c r="I34" s="29" t="s">
        <v>1531</v>
      </c>
      <c r="J34" s="29"/>
      <c r="K34" s="29"/>
      <c r="L34" s="38" t="s">
        <v>1534</v>
      </c>
      <c r="M34" s="29">
        <v>33</v>
      </c>
    </row>
    <row r="35" spans="1:13">
      <c r="A35" s="29">
        <v>34</v>
      </c>
      <c r="B35" s="38" t="s">
        <v>464</v>
      </c>
      <c r="C35" s="29" t="s">
        <v>560</v>
      </c>
      <c r="D35" s="29" t="s">
        <v>561</v>
      </c>
      <c r="E35" s="29">
        <v>0</v>
      </c>
      <c r="F35" s="29" t="s">
        <v>1515</v>
      </c>
      <c r="G35" s="29" t="s">
        <v>562</v>
      </c>
      <c r="H35" s="29">
        <v>2022</v>
      </c>
      <c r="I35" s="29" t="s">
        <v>1531</v>
      </c>
      <c r="J35" s="29"/>
      <c r="K35" s="29"/>
      <c r="L35" s="38" t="s">
        <v>1534</v>
      </c>
      <c r="M35" s="29">
        <v>34</v>
      </c>
    </row>
    <row r="36" spans="1:13">
      <c r="A36" s="29">
        <v>35</v>
      </c>
      <c r="B36" s="38" t="s">
        <v>464</v>
      </c>
      <c r="C36" s="29" t="s">
        <v>563</v>
      </c>
      <c r="D36" s="29" t="s">
        <v>564</v>
      </c>
      <c r="E36" s="29">
        <v>0</v>
      </c>
      <c r="F36" s="29" t="s">
        <v>1515</v>
      </c>
      <c r="G36" s="29" t="s">
        <v>565</v>
      </c>
      <c r="H36" s="29">
        <v>2022</v>
      </c>
      <c r="I36" s="29" t="s">
        <v>1531</v>
      </c>
      <c r="J36" s="29"/>
      <c r="K36" s="29"/>
      <c r="L36" s="38" t="s">
        <v>1534</v>
      </c>
      <c r="M36" s="29">
        <v>35</v>
      </c>
    </row>
    <row r="37" spans="1:13">
      <c r="A37" s="29">
        <v>36</v>
      </c>
      <c r="B37" s="38" t="s">
        <v>464</v>
      </c>
      <c r="C37" s="29" t="s">
        <v>566</v>
      </c>
      <c r="D37" s="29" t="s">
        <v>567</v>
      </c>
      <c r="E37" s="29">
        <v>0</v>
      </c>
      <c r="F37" s="29" t="s">
        <v>1515</v>
      </c>
      <c r="G37" s="29" t="s">
        <v>568</v>
      </c>
      <c r="H37" s="29">
        <v>2022</v>
      </c>
      <c r="I37" s="29" t="s">
        <v>1531</v>
      </c>
      <c r="J37" s="29"/>
      <c r="K37" s="29"/>
      <c r="L37" s="38" t="s">
        <v>1534</v>
      </c>
      <c r="M37" s="29">
        <v>36</v>
      </c>
    </row>
    <row r="38" spans="1:13">
      <c r="A38" s="29">
        <v>37</v>
      </c>
      <c r="B38" s="38" t="s">
        <v>464</v>
      </c>
      <c r="C38" s="29" t="s">
        <v>569</v>
      </c>
      <c r="D38" s="29" t="s">
        <v>1545</v>
      </c>
      <c r="E38" s="29">
        <v>0</v>
      </c>
      <c r="F38" s="29" t="s">
        <v>1515</v>
      </c>
      <c r="G38" s="29" t="s">
        <v>570</v>
      </c>
      <c r="H38" s="29">
        <v>2022</v>
      </c>
      <c r="I38" s="29" t="s">
        <v>1536</v>
      </c>
      <c r="J38" s="29" t="s">
        <v>1531</v>
      </c>
      <c r="K38" s="29"/>
      <c r="L38" s="38" t="s">
        <v>1546</v>
      </c>
      <c r="M38" s="29">
        <v>37</v>
      </c>
    </row>
    <row r="39" spans="1:13">
      <c r="A39" s="29">
        <v>38</v>
      </c>
      <c r="B39" s="38" t="s">
        <v>467</v>
      </c>
      <c r="C39" s="29" t="s">
        <v>571</v>
      </c>
      <c r="D39" s="29" t="s">
        <v>572</v>
      </c>
      <c r="E39" s="29">
        <v>0</v>
      </c>
      <c r="F39" s="29" t="s">
        <v>1515</v>
      </c>
      <c r="G39" s="29" t="s">
        <v>573</v>
      </c>
      <c r="H39" s="29">
        <v>2022</v>
      </c>
      <c r="I39" s="29" t="s">
        <v>1531</v>
      </c>
      <c r="J39" s="29"/>
      <c r="K39" s="29"/>
      <c r="L39" s="38" t="s">
        <v>1534</v>
      </c>
      <c r="M39" s="29">
        <v>38</v>
      </c>
    </row>
    <row r="40" spans="1:13">
      <c r="A40" s="29">
        <v>39</v>
      </c>
      <c r="B40" s="38" t="s">
        <v>467</v>
      </c>
      <c r="C40" s="29" t="s">
        <v>574</v>
      </c>
      <c r="D40" s="29" t="s">
        <v>575</v>
      </c>
      <c r="E40" s="29">
        <v>0</v>
      </c>
      <c r="F40" s="29" t="s">
        <v>1515</v>
      </c>
      <c r="G40" s="29" t="s">
        <v>576</v>
      </c>
      <c r="H40" s="29">
        <v>2022</v>
      </c>
      <c r="I40" s="29" t="s">
        <v>1531</v>
      </c>
      <c r="J40" s="29"/>
      <c r="K40" s="29"/>
      <c r="L40" s="38" t="s">
        <v>1534</v>
      </c>
      <c r="M40" s="29">
        <v>39</v>
      </c>
    </row>
    <row r="41" spans="1:13">
      <c r="A41" s="29">
        <v>40</v>
      </c>
      <c r="B41" s="38" t="s">
        <v>467</v>
      </c>
      <c r="C41" s="29" t="s">
        <v>577</v>
      </c>
      <c r="D41" s="29" t="s">
        <v>578</v>
      </c>
      <c r="E41" s="29">
        <v>0</v>
      </c>
      <c r="F41" s="29" t="s">
        <v>1515</v>
      </c>
      <c r="G41" s="29" t="s">
        <v>579</v>
      </c>
      <c r="H41" s="29">
        <v>2022</v>
      </c>
      <c r="I41" s="29" t="s">
        <v>1531</v>
      </c>
      <c r="J41" s="29"/>
      <c r="K41" s="29"/>
      <c r="L41" s="38" t="s">
        <v>1534</v>
      </c>
      <c r="M41" s="29">
        <v>40</v>
      </c>
    </row>
    <row r="42" spans="1:13">
      <c r="A42" s="29">
        <v>41</v>
      </c>
      <c r="B42" s="38" t="s">
        <v>467</v>
      </c>
      <c r="C42" s="29" t="s">
        <v>580</v>
      </c>
      <c r="D42" s="29" t="s">
        <v>581</v>
      </c>
      <c r="E42" s="29">
        <v>0</v>
      </c>
      <c r="F42" s="29" t="s">
        <v>1515</v>
      </c>
      <c r="G42" s="29" t="s">
        <v>582</v>
      </c>
      <c r="H42" s="29">
        <v>2022</v>
      </c>
      <c r="I42" s="29" t="s">
        <v>1531</v>
      </c>
      <c r="J42" s="29"/>
      <c r="K42" s="29"/>
      <c r="L42" s="38" t="s">
        <v>1534</v>
      </c>
      <c r="M42" s="29">
        <v>41</v>
      </c>
    </row>
    <row r="43" spans="1:13">
      <c r="A43" s="29">
        <v>42</v>
      </c>
      <c r="B43" s="38" t="s">
        <v>467</v>
      </c>
      <c r="C43" s="29" t="s">
        <v>583</v>
      </c>
      <c r="D43" s="29" t="s">
        <v>584</v>
      </c>
      <c r="E43" s="29">
        <v>0</v>
      </c>
      <c r="F43" s="29" t="s">
        <v>1515</v>
      </c>
      <c r="G43" s="29" t="s">
        <v>585</v>
      </c>
      <c r="H43" s="29">
        <v>2022</v>
      </c>
      <c r="I43" s="29" t="s">
        <v>1531</v>
      </c>
      <c r="J43" s="29"/>
      <c r="K43" s="29"/>
      <c r="L43" s="38" t="s">
        <v>1534</v>
      </c>
      <c r="M43" s="29">
        <v>42</v>
      </c>
    </row>
    <row r="44" spans="1:13">
      <c r="A44" s="29">
        <v>43</v>
      </c>
      <c r="B44" s="38" t="s">
        <v>467</v>
      </c>
      <c r="C44" s="29" t="s">
        <v>586</v>
      </c>
      <c r="D44" s="29" t="s">
        <v>587</v>
      </c>
      <c r="E44" s="29">
        <v>0</v>
      </c>
      <c r="F44" s="29" t="s">
        <v>1515</v>
      </c>
      <c r="G44" s="29" t="s">
        <v>588</v>
      </c>
      <c r="H44" s="29">
        <v>2022</v>
      </c>
      <c r="I44" s="29" t="s">
        <v>1531</v>
      </c>
      <c r="J44" s="29"/>
      <c r="K44" s="29"/>
      <c r="L44" s="38" t="s">
        <v>1534</v>
      </c>
      <c r="M44" s="29">
        <v>43</v>
      </c>
    </row>
    <row r="45" spans="1:13">
      <c r="A45" s="29">
        <v>44</v>
      </c>
      <c r="B45" s="38" t="s">
        <v>467</v>
      </c>
      <c r="C45" s="29" t="s">
        <v>589</v>
      </c>
      <c r="D45" s="29" t="s">
        <v>590</v>
      </c>
      <c r="E45" s="29">
        <v>0</v>
      </c>
      <c r="F45" s="29" t="s">
        <v>1515</v>
      </c>
      <c r="G45" s="29" t="s">
        <v>591</v>
      </c>
      <c r="H45" s="29">
        <v>2022</v>
      </c>
      <c r="I45" s="29" t="s">
        <v>1531</v>
      </c>
      <c r="J45" s="29"/>
      <c r="K45" s="29"/>
      <c r="L45" s="38" t="s">
        <v>1534</v>
      </c>
      <c r="M45" s="29">
        <v>44</v>
      </c>
    </row>
    <row r="46" spans="1:13">
      <c r="A46" s="29">
        <v>45</v>
      </c>
      <c r="B46" s="38" t="s">
        <v>467</v>
      </c>
      <c r="C46" s="29" t="s">
        <v>592</v>
      </c>
      <c r="D46" s="29" t="s">
        <v>593</v>
      </c>
      <c r="E46" s="29">
        <v>0</v>
      </c>
      <c r="F46" s="29" t="s">
        <v>1515</v>
      </c>
      <c r="G46" s="29" t="s">
        <v>594</v>
      </c>
      <c r="H46" s="29">
        <v>2022</v>
      </c>
      <c r="I46" s="29" t="s">
        <v>1531</v>
      </c>
      <c r="J46" s="29"/>
      <c r="K46" s="29"/>
      <c r="L46" s="38" t="s">
        <v>1534</v>
      </c>
      <c r="M46" s="29">
        <v>45</v>
      </c>
    </row>
    <row r="47" spans="1:13">
      <c r="A47" s="29">
        <v>46</v>
      </c>
      <c r="B47" s="38" t="s">
        <v>467</v>
      </c>
      <c r="C47" s="29" t="s">
        <v>595</v>
      </c>
      <c r="D47" s="29" t="s">
        <v>1547</v>
      </c>
      <c r="E47" s="29">
        <v>0</v>
      </c>
      <c r="F47" s="29" t="s">
        <v>1515</v>
      </c>
      <c r="G47" s="29" t="s">
        <v>596</v>
      </c>
      <c r="H47" s="29">
        <v>2022</v>
      </c>
      <c r="I47" s="29" t="s">
        <v>1536</v>
      </c>
      <c r="J47" s="29" t="s">
        <v>1531</v>
      </c>
      <c r="K47" s="29"/>
      <c r="L47" s="38" t="s">
        <v>1548</v>
      </c>
      <c r="M47" s="29">
        <v>46</v>
      </c>
    </row>
    <row r="48" spans="1:13">
      <c r="A48" s="29">
        <v>47</v>
      </c>
      <c r="B48" s="38" t="s">
        <v>467</v>
      </c>
      <c r="C48" s="29" t="s">
        <v>597</v>
      </c>
      <c r="D48" s="29" t="s">
        <v>598</v>
      </c>
      <c r="E48" s="29">
        <v>0</v>
      </c>
      <c r="F48" s="29" t="s">
        <v>1515</v>
      </c>
      <c r="G48" s="29" t="s">
        <v>599</v>
      </c>
      <c r="H48" s="29">
        <v>2022</v>
      </c>
      <c r="I48" s="29" t="s">
        <v>1531</v>
      </c>
      <c r="J48" s="29"/>
      <c r="K48" s="29"/>
      <c r="L48" s="38" t="s">
        <v>1534</v>
      </c>
      <c r="M48" s="29">
        <v>47</v>
      </c>
    </row>
    <row r="49" spans="1:13">
      <c r="A49" s="29">
        <v>48</v>
      </c>
      <c r="B49" s="38" t="s">
        <v>467</v>
      </c>
      <c r="C49" s="29" t="s">
        <v>600</v>
      </c>
      <c r="D49" s="29" t="s">
        <v>601</v>
      </c>
      <c r="E49" s="29">
        <v>0</v>
      </c>
      <c r="F49" s="29" t="s">
        <v>1515</v>
      </c>
      <c r="G49" s="29" t="s">
        <v>548</v>
      </c>
      <c r="H49" s="29">
        <v>2022</v>
      </c>
      <c r="I49" s="29" t="s">
        <v>1536</v>
      </c>
      <c r="J49" s="29" t="s">
        <v>1531</v>
      </c>
      <c r="K49" s="29"/>
      <c r="L49" s="38" t="s">
        <v>1549</v>
      </c>
      <c r="M49" s="29">
        <v>48</v>
      </c>
    </row>
    <row r="50" spans="1:13">
      <c r="A50" s="29">
        <v>49</v>
      </c>
      <c r="B50" s="38" t="s">
        <v>467</v>
      </c>
      <c r="C50" s="29" t="s">
        <v>602</v>
      </c>
      <c r="D50" s="29" t="s">
        <v>603</v>
      </c>
      <c r="E50" s="29">
        <v>0</v>
      </c>
      <c r="F50" s="29" t="s">
        <v>1515</v>
      </c>
      <c r="G50" s="29" t="s">
        <v>604</v>
      </c>
      <c r="H50" s="29">
        <v>2022</v>
      </c>
      <c r="I50" s="29" t="s">
        <v>1531</v>
      </c>
      <c r="J50" s="29"/>
      <c r="K50" s="29"/>
      <c r="L50" s="38" t="s">
        <v>1534</v>
      </c>
      <c r="M50" s="29">
        <v>49</v>
      </c>
    </row>
    <row r="51" spans="1:13">
      <c r="A51" s="29">
        <v>50</v>
      </c>
      <c r="B51" s="38" t="s">
        <v>467</v>
      </c>
      <c r="C51" s="29" t="s">
        <v>605</v>
      </c>
      <c r="D51" s="29" t="s">
        <v>606</v>
      </c>
      <c r="E51" s="29">
        <v>0</v>
      </c>
      <c r="F51" s="29" t="s">
        <v>1515</v>
      </c>
      <c r="G51" s="29" t="s">
        <v>542</v>
      </c>
      <c r="H51" s="29">
        <v>2022</v>
      </c>
      <c r="I51" s="29" t="s">
        <v>1531</v>
      </c>
      <c r="J51" s="29"/>
      <c r="K51" s="29"/>
      <c r="L51" s="38" t="s">
        <v>1534</v>
      </c>
      <c r="M51" s="29">
        <v>50</v>
      </c>
    </row>
    <row r="52" spans="1:13">
      <c r="A52" s="29">
        <v>51</v>
      </c>
      <c r="B52" s="38" t="s">
        <v>467</v>
      </c>
      <c r="C52" s="29" t="s">
        <v>607</v>
      </c>
      <c r="D52" s="29" t="s">
        <v>608</v>
      </c>
      <c r="E52" s="29">
        <v>0</v>
      </c>
      <c r="F52" s="29" t="s">
        <v>1515</v>
      </c>
      <c r="G52" s="29" t="s">
        <v>609</v>
      </c>
      <c r="H52" s="29">
        <v>2022</v>
      </c>
      <c r="I52" s="29" t="s">
        <v>1531</v>
      </c>
      <c r="J52" s="29"/>
      <c r="K52" s="29"/>
      <c r="L52" s="38" t="s">
        <v>1534</v>
      </c>
      <c r="M52" s="29">
        <v>51</v>
      </c>
    </row>
    <row r="53" spans="1:13">
      <c r="A53" s="29">
        <v>52</v>
      </c>
      <c r="B53" s="38" t="s">
        <v>467</v>
      </c>
      <c r="C53" s="29" t="s">
        <v>610</v>
      </c>
      <c r="D53" s="29" t="s">
        <v>611</v>
      </c>
      <c r="E53" s="29">
        <v>0</v>
      </c>
      <c r="F53" s="29" t="s">
        <v>1515</v>
      </c>
      <c r="G53" s="29" t="s">
        <v>612</v>
      </c>
      <c r="H53" s="29">
        <v>2022</v>
      </c>
      <c r="I53" s="29" t="s">
        <v>1531</v>
      </c>
      <c r="J53" s="29"/>
      <c r="K53" s="29"/>
      <c r="L53" s="38" t="s">
        <v>1534</v>
      </c>
      <c r="M53" s="29">
        <v>52</v>
      </c>
    </row>
    <row r="54" spans="1:13">
      <c r="A54" s="29">
        <v>53</v>
      </c>
      <c r="B54" s="38" t="s">
        <v>467</v>
      </c>
      <c r="C54" s="29" t="s">
        <v>613</v>
      </c>
      <c r="D54" s="29" t="s">
        <v>614</v>
      </c>
      <c r="E54" s="29">
        <v>0</v>
      </c>
      <c r="F54" s="29" t="s">
        <v>1515</v>
      </c>
      <c r="G54" s="29" t="s">
        <v>615</v>
      </c>
      <c r="H54" s="29">
        <v>2022</v>
      </c>
      <c r="I54" s="29" t="s">
        <v>1531</v>
      </c>
      <c r="J54" s="29"/>
      <c r="K54" s="29"/>
      <c r="L54" s="38" t="s">
        <v>1534</v>
      </c>
      <c r="M54" s="29">
        <v>53</v>
      </c>
    </row>
    <row r="55" spans="1:13">
      <c r="A55" s="29">
        <v>54</v>
      </c>
      <c r="B55" s="38" t="s">
        <v>467</v>
      </c>
      <c r="C55" s="29" t="s">
        <v>616</v>
      </c>
      <c r="D55" s="29" t="s">
        <v>617</v>
      </c>
      <c r="E55" s="29">
        <v>0</v>
      </c>
      <c r="F55" s="29" t="s">
        <v>1515</v>
      </c>
      <c r="G55" s="29" t="s">
        <v>618</v>
      </c>
      <c r="H55" s="29">
        <v>2022</v>
      </c>
      <c r="I55" s="29" t="s">
        <v>1531</v>
      </c>
      <c r="J55" s="29"/>
      <c r="K55" s="29"/>
      <c r="L55" s="38" t="s">
        <v>1534</v>
      </c>
      <c r="M55" s="29">
        <v>54</v>
      </c>
    </row>
    <row r="56" spans="1:13">
      <c r="A56" s="29">
        <v>55</v>
      </c>
      <c r="B56" s="38" t="s">
        <v>467</v>
      </c>
      <c r="C56" s="29" t="s">
        <v>619</v>
      </c>
      <c r="D56" s="29" t="s">
        <v>620</v>
      </c>
      <c r="E56" s="29">
        <v>0</v>
      </c>
      <c r="F56" s="29" t="s">
        <v>1515</v>
      </c>
      <c r="G56" s="29" t="s">
        <v>621</v>
      </c>
      <c r="H56" s="29">
        <v>2022</v>
      </c>
      <c r="I56" s="29" t="s">
        <v>1531</v>
      </c>
      <c r="J56" s="29"/>
      <c r="K56" s="29"/>
      <c r="L56" s="38" t="s">
        <v>1534</v>
      </c>
      <c r="M56" s="29">
        <v>55</v>
      </c>
    </row>
    <row r="57" spans="1:13">
      <c r="A57" s="29">
        <v>56</v>
      </c>
      <c r="B57" s="38" t="s">
        <v>467</v>
      </c>
      <c r="C57" s="29" t="s">
        <v>622</v>
      </c>
      <c r="D57" s="29" t="s">
        <v>623</v>
      </c>
      <c r="E57" s="29">
        <v>0</v>
      </c>
      <c r="F57" s="29" t="s">
        <v>1515</v>
      </c>
      <c r="G57" s="29" t="s">
        <v>624</v>
      </c>
      <c r="H57" s="29">
        <v>2022</v>
      </c>
      <c r="I57" s="29" t="s">
        <v>1531</v>
      </c>
      <c r="J57" s="29"/>
      <c r="K57" s="29"/>
      <c r="L57" s="38" t="s">
        <v>1534</v>
      </c>
      <c r="M57" s="29">
        <v>56</v>
      </c>
    </row>
    <row r="58" spans="1:13">
      <c r="A58" s="29">
        <v>57</v>
      </c>
      <c r="B58" s="38" t="s">
        <v>467</v>
      </c>
      <c r="C58" s="29" t="s">
        <v>625</v>
      </c>
      <c r="D58" s="29" t="s">
        <v>626</v>
      </c>
      <c r="E58" s="29">
        <v>0</v>
      </c>
      <c r="F58" s="29" t="s">
        <v>1515</v>
      </c>
      <c r="G58" s="29" t="s">
        <v>627</v>
      </c>
      <c r="H58" s="29">
        <v>2022</v>
      </c>
      <c r="I58" s="29" t="s">
        <v>1531</v>
      </c>
      <c r="J58" s="29"/>
      <c r="K58" s="29"/>
      <c r="L58" s="38" t="s">
        <v>1534</v>
      </c>
      <c r="M58" s="29">
        <v>57</v>
      </c>
    </row>
    <row r="59" spans="1:13">
      <c r="A59" s="29">
        <v>58</v>
      </c>
      <c r="B59" s="38" t="s">
        <v>464</v>
      </c>
      <c r="C59" s="29" t="s">
        <v>628</v>
      </c>
      <c r="D59" s="29" t="s">
        <v>629</v>
      </c>
      <c r="E59" s="29">
        <v>0</v>
      </c>
      <c r="F59" s="29" t="s">
        <v>1515</v>
      </c>
      <c r="G59" s="29" t="s">
        <v>630</v>
      </c>
      <c r="H59" s="29">
        <v>2023</v>
      </c>
      <c r="I59" s="29" t="s">
        <v>1531</v>
      </c>
      <c r="J59" s="29"/>
      <c r="K59" s="29"/>
      <c r="L59" s="38" t="s">
        <v>1534</v>
      </c>
      <c r="M59" s="29">
        <v>58</v>
      </c>
    </row>
    <row r="60" spans="1:13">
      <c r="A60" s="29">
        <v>59</v>
      </c>
      <c r="B60" s="38" t="s">
        <v>464</v>
      </c>
      <c r="C60" s="29" t="s">
        <v>631</v>
      </c>
      <c r="D60" s="29" t="s">
        <v>632</v>
      </c>
      <c r="E60" s="29">
        <v>0</v>
      </c>
      <c r="F60" s="29" t="s">
        <v>1515</v>
      </c>
      <c r="G60" s="29" t="s">
        <v>633</v>
      </c>
      <c r="H60" s="29">
        <v>2023</v>
      </c>
      <c r="I60" s="29" t="s">
        <v>1531</v>
      </c>
      <c r="J60" s="29"/>
      <c r="K60" s="29"/>
      <c r="L60" s="38" t="s">
        <v>1534</v>
      </c>
      <c r="M60" s="29">
        <v>59</v>
      </c>
    </row>
    <row r="61" spans="1:13">
      <c r="A61" s="29">
        <v>60</v>
      </c>
      <c r="B61" s="38" t="s">
        <v>464</v>
      </c>
      <c r="C61" s="29" t="s">
        <v>634</v>
      </c>
      <c r="D61" s="29" t="s">
        <v>1550</v>
      </c>
      <c r="E61" s="29">
        <v>0</v>
      </c>
      <c r="F61" s="29" t="s">
        <v>1515</v>
      </c>
      <c r="G61" s="29" t="s">
        <v>635</v>
      </c>
      <c r="H61" s="29">
        <v>2023</v>
      </c>
      <c r="I61" s="29" t="s">
        <v>1536</v>
      </c>
      <c r="J61" s="29" t="s">
        <v>1531</v>
      </c>
      <c r="K61" s="29"/>
      <c r="L61" s="38" t="s">
        <v>1551</v>
      </c>
      <c r="M61" s="29">
        <v>60</v>
      </c>
    </row>
    <row r="62" spans="1:13">
      <c r="A62" s="29">
        <v>61</v>
      </c>
      <c r="B62" s="38" t="s">
        <v>464</v>
      </c>
      <c r="C62" s="29" t="s">
        <v>1552</v>
      </c>
      <c r="D62" s="29" t="s">
        <v>636</v>
      </c>
      <c r="E62" s="29">
        <v>1</v>
      </c>
      <c r="F62" s="29" t="s">
        <v>1515</v>
      </c>
      <c r="G62" s="29" t="s">
        <v>637</v>
      </c>
      <c r="H62" s="29">
        <v>2023</v>
      </c>
      <c r="I62" s="29" t="s">
        <v>1536</v>
      </c>
      <c r="J62" s="29" t="s">
        <v>1536</v>
      </c>
      <c r="K62" s="29" t="s">
        <v>1536</v>
      </c>
      <c r="L62" s="38"/>
      <c r="M62" s="29">
        <v>61</v>
      </c>
    </row>
    <row r="63" spans="1:13">
      <c r="A63" s="29">
        <v>62</v>
      </c>
      <c r="B63" s="38" t="s">
        <v>467</v>
      </c>
      <c r="C63" s="29" t="s">
        <v>638</v>
      </c>
      <c r="D63" s="29" t="s">
        <v>639</v>
      </c>
      <c r="E63" s="29">
        <v>0</v>
      </c>
      <c r="F63" s="29" t="s">
        <v>1516</v>
      </c>
      <c r="G63" s="29" t="s">
        <v>640</v>
      </c>
      <c r="H63" s="29">
        <v>2023</v>
      </c>
      <c r="I63" s="29" t="s">
        <v>1536</v>
      </c>
      <c r="J63" s="29" t="s">
        <v>1531</v>
      </c>
      <c r="K63" s="29"/>
      <c r="L63" s="38" t="s">
        <v>1553</v>
      </c>
      <c r="M63" s="29">
        <v>62</v>
      </c>
    </row>
    <row r="64" spans="1:13">
      <c r="A64" s="29">
        <v>63</v>
      </c>
      <c r="B64" s="38" t="s">
        <v>467</v>
      </c>
      <c r="C64" s="29" t="s">
        <v>641</v>
      </c>
      <c r="D64" s="29" t="s">
        <v>642</v>
      </c>
      <c r="E64" s="29">
        <v>0</v>
      </c>
      <c r="F64" s="29" t="s">
        <v>1515</v>
      </c>
      <c r="G64" s="29" t="s">
        <v>643</v>
      </c>
      <c r="H64" s="29">
        <v>2023</v>
      </c>
      <c r="I64" s="29" t="s">
        <v>1531</v>
      </c>
      <c r="J64" s="29"/>
      <c r="K64" s="29"/>
      <c r="L64" s="38" t="s">
        <v>1534</v>
      </c>
      <c r="M64" s="29">
        <v>63</v>
      </c>
    </row>
    <row r="65" spans="1:13">
      <c r="A65" s="29">
        <v>64</v>
      </c>
      <c r="B65" s="38" t="s">
        <v>467</v>
      </c>
      <c r="C65" s="29" t="s">
        <v>644</v>
      </c>
      <c r="D65" s="29" t="s">
        <v>645</v>
      </c>
      <c r="E65" s="29">
        <v>0</v>
      </c>
      <c r="F65" s="29" t="s">
        <v>1515</v>
      </c>
      <c r="G65" s="29" t="s">
        <v>646</v>
      </c>
      <c r="H65" s="29">
        <v>2023</v>
      </c>
      <c r="I65" s="29" t="s">
        <v>1531</v>
      </c>
      <c r="J65" s="29"/>
      <c r="K65" s="29"/>
      <c r="L65" s="38" t="s">
        <v>1534</v>
      </c>
      <c r="M65" s="29">
        <v>64</v>
      </c>
    </row>
    <row r="66" spans="1:13">
      <c r="A66" s="29">
        <v>65</v>
      </c>
      <c r="B66" s="38" t="s">
        <v>464</v>
      </c>
      <c r="C66" s="29" t="s">
        <v>647</v>
      </c>
      <c r="D66" s="29" t="s">
        <v>648</v>
      </c>
      <c r="E66" s="29">
        <v>0</v>
      </c>
      <c r="F66" s="29" t="s">
        <v>1515</v>
      </c>
      <c r="G66" s="29" t="s">
        <v>649</v>
      </c>
      <c r="H66" s="29">
        <v>2023</v>
      </c>
      <c r="I66" s="29" t="s">
        <v>1531</v>
      </c>
      <c r="J66" s="29"/>
      <c r="K66" s="29"/>
      <c r="L66" s="38" t="s">
        <v>1534</v>
      </c>
      <c r="M66" s="29">
        <v>65</v>
      </c>
    </row>
    <row r="67" spans="1:13">
      <c r="A67" s="29">
        <v>66</v>
      </c>
      <c r="B67" s="38" t="s">
        <v>464</v>
      </c>
      <c r="C67" s="29" t="s">
        <v>650</v>
      </c>
      <c r="D67" s="29" t="s">
        <v>651</v>
      </c>
      <c r="E67" s="29">
        <v>0</v>
      </c>
      <c r="F67" s="29" t="s">
        <v>1515</v>
      </c>
      <c r="G67" s="29" t="s">
        <v>652</v>
      </c>
      <c r="H67" s="29">
        <v>2023</v>
      </c>
      <c r="I67" s="29" t="s">
        <v>1531</v>
      </c>
      <c r="J67" s="29"/>
      <c r="K67" s="29"/>
      <c r="L67" s="38" t="s">
        <v>1534</v>
      </c>
      <c r="M67" s="29">
        <v>66</v>
      </c>
    </row>
    <row r="68" spans="1:13">
      <c r="A68" s="29">
        <v>67</v>
      </c>
      <c r="B68" s="38" t="s">
        <v>467</v>
      </c>
      <c r="C68" s="29" t="s">
        <v>653</v>
      </c>
      <c r="D68" s="29" t="s">
        <v>654</v>
      </c>
      <c r="E68" s="29">
        <v>0</v>
      </c>
      <c r="F68" s="29" t="s">
        <v>1515</v>
      </c>
      <c r="G68" s="29" t="s">
        <v>655</v>
      </c>
      <c r="H68" s="29">
        <v>2023</v>
      </c>
      <c r="I68" s="29" t="s">
        <v>1531</v>
      </c>
      <c r="J68" s="29"/>
      <c r="K68" s="29"/>
      <c r="L68" s="38" t="s">
        <v>1534</v>
      </c>
      <c r="M68" s="29">
        <v>67</v>
      </c>
    </row>
    <row r="69" spans="1:13">
      <c r="A69" s="29">
        <v>68</v>
      </c>
      <c r="B69" s="38" t="s">
        <v>467</v>
      </c>
      <c r="C69" s="29" t="s">
        <v>656</v>
      </c>
      <c r="D69" s="29" t="s">
        <v>657</v>
      </c>
      <c r="E69" s="29">
        <v>0</v>
      </c>
      <c r="F69" s="29" t="s">
        <v>1515</v>
      </c>
      <c r="G69" s="29" t="s">
        <v>658</v>
      </c>
      <c r="H69" s="29">
        <v>2023</v>
      </c>
      <c r="I69" s="29" t="s">
        <v>1536</v>
      </c>
      <c r="J69" s="29" t="s">
        <v>1536</v>
      </c>
      <c r="K69" s="29" t="s">
        <v>1531</v>
      </c>
      <c r="L69" s="38" t="s">
        <v>1554</v>
      </c>
      <c r="M69" s="29">
        <v>68</v>
      </c>
    </row>
    <row r="70" spans="1:13">
      <c r="A70" s="29">
        <v>69</v>
      </c>
      <c r="B70" s="38" t="s">
        <v>467</v>
      </c>
      <c r="C70" s="29" t="s">
        <v>659</v>
      </c>
      <c r="D70" s="29" t="s">
        <v>660</v>
      </c>
      <c r="E70" s="29">
        <v>0</v>
      </c>
      <c r="F70" s="29" t="s">
        <v>1515</v>
      </c>
      <c r="G70" s="29" t="s">
        <v>661</v>
      </c>
      <c r="H70" s="29">
        <v>2023</v>
      </c>
      <c r="I70" s="29" t="s">
        <v>1531</v>
      </c>
      <c r="J70" s="29"/>
      <c r="K70" s="29"/>
      <c r="L70" s="38" t="s">
        <v>1534</v>
      </c>
      <c r="M70" s="29">
        <v>69</v>
      </c>
    </row>
    <row r="71" spans="1:13">
      <c r="A71" s="29">
        <v>70</v>
      </c>
      <c r="B71" s="38" t="s">
        <v>464</v>
      </c>
      <c r="C71" s="29" t="s">
        <v>662</v>
      </c>
      <c r="D71" s="29" t="s">
        <v>663</v>
      </c>
      <c r="E71" s="29">
        <v>0</v>
      </c>
      <c r="F71" s="29" t="s">
        <v>1515</v>
      </c>
      <c r="G71" s="29" t="s">
        <v>664</v>
      </c>
      <c r="H71" s="29">
        <v>2023</v>
      </c>
      <c r="I71" s="29" t="s">
        <v>1531</v>
      </c>
      <c r="J71" s="29"/>
      <c r="K71" s="29"/>
      <c r="L71" s="38" t="s">
        <v>1534</v>
      </c>
      <c r="M71" s="29">
        <v>70</v>
      </c>
    </row>
    <row r="72" spans="1:13">
      <c r="A72" s="29">
        <v>71</v>
      </c>
      <c r="B72" s="38" t="s">
        <v>464</v>
      </c>
      <c r="C72" s="29" t="s">
        <v>665</v>
      </c>
      <c r="D72" s="29" t="s">
        <v>666</v>
      </c>
      <c r="E72" s="29">
        <v>0</v>
      </c>
      <c r="F72" s="29" t="s">
        <v>1515</v>
      </c>
      <c r="G72" s="29" t="s">
        <v>667</v>
      </c>
      <c r="H72" s="29">
        <v>2023</v>
      </c>
      <c r="I72" s="29" t="s">
        <v>1531</v>
      </c>
      <c r="J72" s="29"/>
      <c r="K72" s="29"/>
      <c r="L72" s="38" t="s">
        <v>1534</v>
      </c>
      <c r="M72" s="29">
        <v>71</v>
      </c>
    </row>
    <row r="73" spans="1:13">
      <c r="A73" s="29">
        <v>72</v>
      </c>
      <c r="B73" s="38" t="s">
        <v>464</v>
      </c>
      <c r="C73" s="29" t="s">
        <v>668</v>
      </c>
      <c r="D73" s="29" t="s">
        <v>669</v>
      </c>
      <c r="E73" s="29">
        <v>0</v>
      </c>
      <c r="F73" s="29" t="s">
        <v>1515</v>
      </c>
      <c r="G73" s="29" t="s">
        <v>670</v>
      </c>
      <c r="H73" s="29">
        <v>2023</v>
      </c>
      <c r="I73" s="29" t="s">
        <v>1536</v>
      </c>
      <c r="J73" s="29" t="s">
        <v>1531</v>
      </c>
      <c r="K73" s="29"/>
      <c r="L73" s="38" t="s">
        <v>1555</v>
      </c>
      <c r="M73" s="29">
        <v>72</v>
      </c>
    </row>
    <row r="74" spans="1:13">
      <c r="A74" s="29">
        <v>73</v>
      </c>
      <c r="B74" s="38" t="s">
        <v>464</v>
      </c>
      <c r="C74" s="29" t="s">
        <v>671</v>
      </c>
      <c r="D74" s="29" t="s">
        <v>672</v>
      </c>
      <c r="E74" s="29">
        <v>0</v>
      </c>
      <c r="F74" s="29" t="s">
        <v>1515</v>
      </c>
      <c r="G74" s="29" t="s">
        <v>673</v>
      </c>
      <c r="H74" s="29">
        <v>2023</v>
      </c>
      <c r="I74" s="29" t="s">
        <v>1531</v>
      </c>
      <c r="J74" s="29"/>
      <c r="K74" s="29"/>
      <c r="L74" s="38" t="s">
        <v>1534</v>
      </c>
      <c r="M74" s="29">
        <v>73</v>
      </c>
    </row>
    <row r="75" spans="1:13">
      <c r="A75" s="29">
        <v>74</v>
      </c>
      <c r="B75" s="38" t="s">
        <v>467</v>
      </c>
      <c r="C75" s="29" t="s">
        <v>674</v>
      </c>
      <c r="D75" s="29" t="s">
        <v>675</v>
      </c>
      <c r="E75" s="29">
        <v>0</v>
      </c>
      <c r="F75" s="29" t="s">
        <v>1515</v>
      </c>
      <c r="G75" s="29" t="s">
        <v>676</v>
      </c>
      <c r="H75" s="29">
        <v>2023</v>
      </c>
      <c r="I75" s="29" t="s">
        <v>1531</v>
      </c>
      <c r="J75" s="29"/>
      <c r="K75" s="29"/>
      <c r="L75" s="38" t="s">
        <v>1534</v>
      </c>
      <c r="M75" s="29">
        <v>74</v>
      </c>
    </row>
    <row r="76" spans="1:13">
      <c r="A76" s="29">
        <v>75</v>
      </c>
      <c r="B76" s="38" t="s">
        <v>464</v>
      </c>
      <c r="C76" s="29" t="s">
        <v>677</v>
      </c>
      <c r="D76" s="29" t="s">
        <v>678</v>
      </c>
      <c r="E76" s="29">
        <v>0</v>
      </c>
      <c r="F76" s="29" t="s">
        <v>1515</v>
      </c>
      <c r="G76" s="29" t="s">
        <v>679</v>
      </c>
      <c r="H76" s="29">
        <v>2023</v>
      </c>
      <c r="I76" s="29" t="s">
        <v>1531</v>
      </c>
      <c r="J76" s="29"/>
      <c r="K76" s="29"/>
      <c r="L76" s="38" t="s">
        <v>1534</v>
      </c>
      <c r="M76" s="29">
        <v>75</v>
      </c>
    </row>
    <row r="77" spans="1:13">
      <c r="A77" s="29">
        <v>76</v>
      </c>
      <c r="B77" s="38" t="s">
        <v>464</v>
      </c>
      <c r="C77" s="29" t="s">
        <v>680</v>
      </c>
      <c r="D77" s="29" t="s">
        <v>681</v>
      </c>
      <c r="E77" s="29">
        <v>0</v>
      </c>
      <c r="F77" s="29" t="s">
        <v>1515</v>
      </c>
      <c r="G77" s="29" t="s">
        <v>682</v>
      </c>
      <c r="H77" s="29">
        <v>2023</v>
      </c>
      <c r="I77" s="29" t="s">
        <v>1531</v>
      </c>
      <c r="J77" s="29"/>
      <c r="K77" s="29"/>
      <c r="L77" s="38" t="s">
        <v>1534</v>
      </c>
      <c r="M77" s="29">
        <v>76</v>
      </c>
    </row>
    <row r="78" spans="1:13">
      <c r="A78" s="29">
        <v>77</v>
      </c>
      <c r="B78" s="38" t="s">
        <v>464</v>
      </c>
      <c r="C78" s="29" t="s">
        <v>683</v>
      </c>
      <c r="D78" s="29" t="s">
        <v>684</v>
      </c>
      <c r="E78" s="29">
        <v>0</v>
      </c>
      <c r="F78" s="29" t="s">
        <v>1515</v>
      </c>
      <c r="G78" s="29" t="s">
        <v>685</v>
      </c>
      <c r="H78" s="29">
        <v>2023</v>
      </c>
      <c r="I78" s="29" t="s">
        <v>1531</v>
      </c>
      <c r="J78" s="29"/>
      <c r="K78" s="29"/>
      <c r="L78" s="38" t="s">
        <v>1534</v>
      </c>
      <c r="M78" s="29">
        <v>77</v>
      </c>
    </row>
    <row r="79" spans="1:13">
      <c r="A79" s="29">
        <v>78</v>
      </c>
      <c r="B79" s="38" t="s">
        <v>467</v>
      </c>
      <c r="C79" s="29" t="s">
        <v>686</v>
      </c>
      <c r="D79" s="29" t="s">
        <v>687</v>
      </c>
      <c r="E79" s="29">
        <v>0</v>
      </c>
      <c r="F79" s="29" t="s">
        <v>1515</v>
      </c>
      <c r="G79" s="29" t="s">
        <v>688</v>
      </c>
      <c r="H79" s="29">
        <v>2023</v>
      </c>
      <c r="I79" s="29" t="s">
        <v>1531</v>
      </c>
      <c r="J79" s="29"/>
      <c r="K79" s="29"/>
      <c r="L79" s="38" t="s">
        <v>1534</v>
      </c>
      <c r="M79" s="29">
        <v>78</v>
      </c>
    </row>
    <row r="80" spans="1:13">
      <c r="A80" s="29">
        <v>79</v>
      </c>
      <c r="B80" s="38" t="s">
        <v>467</v>
      </c>
      <c r="C80" s="29" t="s">
        <v>689</v>
      </c>
      <c r="D80" s="29" t="s">
        <v>690</v>
      </c>
      <c r="E80" s="29">
        <v>0</v>
      </c>
      <c r="F80" s="29" t="s">
        <v>1515</v>
      </c>
      <c r="G80" s="29" t="s">
        <v>691</v>
      </c>
      <c r="H80" s="29">
        <v>2023</v>
      </c>
      <c r="I80" s="29" t="s">
        <v>1536</v>
      </c>
      <c r="J80" s="29" t="s">
        <v>1531</v>
      </c>
      <c r="K80" s="29"/>
      <c r="L80" s="38" t="s">
        <v>1543</v>
      </c>
      <c r="M80" s="29">
        <v>79</v>
      </c>
    </row>
    <row r="81" spans="1:13">
      <c r="A81" s="29">
        <v>80</v>
      </c>
      <c r="B81" s="38" t="s">
        <v>467</v>
      </c>
      <c r="C81" s="29" t="s">
        <v>692</v>
      </c>
      <c r="D81" s="29" t="s">
        <v>693</v>
      </c>
      <c r="E81" s="29">
        <v>1</v>
      </c>
      <c r="F81" s="29" t="s">
        <v>1515</v>
      </c>
      <c r="G81" s="29" t="s">
        <v>694</v>
      </c>
      <c r="H81" s="29">
        <v>2023</v>
      </c>
      <c r="I81" s="29" t="s">
        <v>1536</v>
      </c>
      <c r="J81" s="29" t="s">
        <v>1536</v>
      </c>
      <c r="K81" s="29" t="s">
        <v>1536</v>
      </c>
      <c r="L81" s="38"/>
      <c r="M81" s="29">
        <v>80</v>
      </c>
    </row>
    <row r="82" spans="1:13">
      <c r="A82" s="29">
        <v>81</v>
      </c>
      <c r="B82" s="38" t="s">
        <v>467</v>
      </c>
      <c r="C82" s="29" t="s">
        <v>695</v>
      </c>
      <c r="D82" s="29" t="s">
        <v>696</v>
      </c>
      <c r="E82" s="29">
        <v>0</v>
      </c>
      <c r="F82" s="29" t="s">
        <v>1515</v>
      </c>
      <c r="G82" s="29" t="s">
        <v>697</v>
      </c>
      <c r="H82" s="29">
        <v>2023</v>
      </c>
      <c r="I82" s="29" t="s">
        <v>1536</v>
      </c>
      <c r="J82" s="29" t="s">
        <v>1531</v>
      </c>
      <c r="K82" s="29"/>
      <c r="L82" s="38" t="s">
        <v>1538</v>
      </c>
      <c r="M82" s="29">
        <v>81</v>
      </c>
    </row>
    <row r="83" spans="1:13">
      <c r="A83" s="29">
        <v>82</v>
      </c>
      <c r="B83" s="38" t="s">
        <v>467</v>
      </c>
      <c r="C83" s="29" t="s">
        <v>698</v>
      </c>
      <c r="D83" s="29" t="s">
        <v>699</v>
      </c>
      <c r="E83" s="29">
        <v>0</v>
      </c>
      <c r="F83" s="29" t="s">
        <v>1515</v>
      </c>
      <c r="G83" s="29" t="s">
        <v>700</v>
      </c>
      <c r="H83" s="29">
        <v>2023</v>
      </c>
      <c r="I83" s="29" t="s">
        <v>1531</v>
      </c>
      <c r="J83" s="29"/>
      <c r="K83" s="29"/>
      <c r="L83" s="38" t="s">
        <v>1534</v>
      </c>
      <c r="M83" s="29">
        <v>82</v>
      </c>
    </row>
    <row r="84" spans="1:13">
      <c r="A84" s="29">
        <v>83</v>
      </c>
      <c r="B84" s="38" t="s">
        <v>467</v>
      </c>
      <c r="C84" s="29" t="s">
        <v>701</v>
      </c>
      <c r="D84" s="29" t="s">
        <v>702</v>
      </c>
      <c r="E84" s="29">
        <v>0</v>
      </c>
      <c r="F84" s="29" t="s">
        <v>1515</v>
      </c>
      <c r="G84" s="29" t="s">
        <v>703</v>
      </c>
      <c r="H84" s="29">
        <v>2023</v>
      </c>
      <c r="I84" s="29" t="s">
        <v>1531</v>
      </c>
      <c r="J84" s="29"/>
      <c r="K84" s="29"/>
      <c r="L84" s="38" t="s">
        <v>1534</v>
      </c>
      <c r="M84" s="29">
        <v>83</v>
      </c>
    </row>
    <row r="85" spans="1:13">
      <c r="A85" s="29">
        <v>84</v>
      </c>
      <c r="B85" s="38" t="s">
        <v>467</v>
      </c>
      <c r="C85" s="29" t="s">
        <v>704</v>
      </c>
      <c r="D85" s="29" t="s">
        <v>705</v>
      </c>
      <c r="E85" s="29">
        <v>0</v>
      </c>
      <c r="F85" s="29" t="s">
        <v>1515</v>
      </c>
      <c r="G85" s="29" t="s">
        <v>706</v>
      </c>
      <c r="H85" s="29">
        <v>2023</v>
      </c>
      <c r="I85" s="29" t="s">
        <v>1531</v>
      </c>
      <c r="J85" s="29"/>
      <c r="K85" s="29"/>
      <c r="L85" s="38" t="s">
        <v>1534</v>
      </c>
      <c r="M85" s="29">
        <v>84</v>
      </c>
    </row>
    <row r="86" spans="1:13">
      <c r="A86" s="29">
        <v>85</v>
      </c>
      <c r="B86" s="38" t="s">
        <v>467</v>
      </c>
      <c r="C86" s="29" t="s">
        <v>707</v>
      </c>
      <c r="D86" s="29" t="s">
        <v>708</v>
      </c>
      <c r="E86" s="29">
        <v>0</v>
      </c>
      <c r="F86" s="29" t="s">
        <v>1515</v>
      </c>
      <c r="G86" s="29" t="s">
        <v>709</v>
      </c>
      <c r="H86" s="29">
        <v>2023</v>
      </c>
      <c r="I86" s="29" t="s">
        <v>1531</v>
      </c>
      <c r="J86" s="29"/>
      <c r="K86" s="29"/>
      <c r="L86" s="38" t="s">
        <v>1534</v>
      </c>
      <c r="M86" s="29">
        <v>85</v>
      </c>
    </row>
    <row r="87" spans="1:13">
      <c r="A87" s="29">
        <v>86</v>
      </c>
      <c r="B87" s="38" t="s">
        <v>467</v>
      </c>
      <c r="C87" s="29" t="s">
        <v>710</v>
      </c>
      <c r="D87" s="29" t="s">
        <v>711</v>
      </c>
      <c r="E87" s="29">
        <v>0</v>
      </c>
      <c r="F87" s="29" t="s">
        <v>1515</v>
      </c>
      <c r="G87" s="29" t="s">
        <v>712</v>
      </c>
      <c r="H87" s="29">
        <v>2023</v>
      </c>
      <c r="I87" s="29" t="s">
        <v>1531</v>
      </c>
      <c r="J87" s="29"/>
      <c r="K87" s="29"/>
      <c r="L87" s="38" t="s">
        <v>1534</v>
      </c>
      <c r="M87" s="29">
        <v>86</v>
      </c>
    </row>
    <row r="88" spans="1:13">
      <c r="A88" s="29">
        <v>87</v>
      </c>
      <c r="B88" s="38" t="s">
        <v>467</v>
      </c>
      <c r="C88" s="29" t="s">
        <v>713</v>
      </c>
      <c r="D88" s="29" t="s">
        <v>714</v>
      </c>
      <c r="E88" s="29">
        <v>0</v>
      </c>
      <c r="F88" s="29" t="s">
        <v>1515</v>
      </c>
      <c r="G88" s="29" t="s">
        <v>688</v>
      </c>
      <c r="H88" s="29">
        <v>2023</v>
      </c>
      <c r="I88" s="29" t="s">
        <v>1531</v>
      </c>
      <c r="J88" s="29"/>
      <c r="K88" s="29"/>
      <c r="L88" s="38" t="s">
        <v>1534</v>
      </c>
      <c r="M88" s="29">
        <v>87</v>
      </c>
    </row>
    <row r="89" spans="1:13">
      <c r="A89" s="29">
        <v>88</v>
      </c>
      <c r="B89" s="38" t="s">
        <v>467</v>
      </c>
      <c r="C89" s="29" t="s">
        <v>715</v>
      </c>
      <c r="D89" s="29" t="s">
        <v>716</v>
      </c>
      <c r="E89" s="29">
        <v>0</v>
      </c>
      <c r="F89" s="29" t="s">
        <v>1515</v>
      </c>
      <c r="G89" s="29" t="s">
        <v>717</v>
      </c>
      <c r="H89" s="29">
        <v>2023</v>
      </c>
      <c r="I89" s="29" t="s">
        <v>1531</v>
      </c>
      <c r="J89" s="29"/>
      <c r="K89" s="29"/>
      <c r="L89" s="38" t="s">
        <v>1534</v>
      </c>
      <c r="M89" s="29">
        <v>88</v>
      </c>
    </row>
    <row r="90" spans="1:13">
      <c r="A90" s="29">
        <v>89</v>
      </c>
      <c r="B90" s="38" t="s">
        <v>467</v>
      </c>
      <c r="C90" s="29" t="s">
        <v>718</v>
      </c>
      <c r="D90" s="29" t="s">
        <v>719</v>
      </c>
      <c r="E90" s="29">
        <v>0</v>
      </c>
      <c r="F90" s="29" t="s">
        <v>1515</v>
      </c>
      <c r="G90" s="29" t="s">
        <v>720</v>
      </c>
      <c r="H90" s="29">
        <v>2023</v>
      </c>
      <c r="I90" s="29" t="s">
        <v>1531</v>
      </c>
      <c r="J90" s="29"/>
      <c r="K90" s="29"/>
      <c r="L90" s="38" t="s">
        <v>1534</v>
      </c>
      <c r="M90" s="29">
        <v>89</v>
      </c>
    </row>
    <row r="91" spans="1:13">
      <c r="A91" s="29">
        <v>90</v>
      </c>
      <c r="B91" s="38" t="s">
        <v>467</v>
      </c>
      <c r="C91" s="29" t="s">
        <v>721</v>
      </c>
      <c r="D91" s="29" t="s">
        <v>722</v>
      </c>
      <c r="E91" s="29">
        <v>0</v>
      </c>
      <c r="F91" s="29" t="s">
        <v>1515</v>
      </c>
      <c r="G91" s="29" t="s">
        <v>723</v>
      </c>
      <c r="H91" s="29">
        <v>2023</v>
      </c>
      <c r="I91" s="29" t="s">
        <v>1531</v>
      </c>
      <c r="J91" s="29"/>
      <c r="K91" s="29"/>
      <c r="L91" s="38" t="s">
        <v>1534</v>
      </c>
      <c r="M91" s="29">
        <v>90</v>
      </c>
    </row>
    <row r="92" spans="1:13">
      <c r="A92" s="29">
        <v>91</v>
      </c>
      <c r="B92" s="38" t="s">
        <v>467</v>
      </c>
      <c r="C92" s="29" t="s">
        <v>724</v>
      </c>
      <c r="D92" s="29" t="s">
        <v>725</v>
      </c>
      <c r="E92" s="29">
        <v>0</v>
      </c>
      <c r="F92" s="29" t="s">
        <v>1515</v>
      </c>
      <c r="G92" s="29" t="s">
        <v>726</v>
      </c>
      <c r="H92" s="29">
        <v>2023</v>
      </c>
      <c r="I92" s="29" t="s">
        <v>1531</v>
      </c>
      <c r="J92" s="29"/>
      <c r="K92" s="29"/>
      <c r="L92" s="38" t="s">
        <v>1534</v>
      </c>
      <c r="M92" s="29">
        <v>91</v>
      </c>
    </row>
    <row r="93" spans="1:13">
      <c r="A93" s="29">
        <v>92</v>
      </c>
      <c r="B93" s="38" t="s">
        <v>467</v>
      </c>
      <c r="C93" s="29" t="s">
        <v>727</v>
      </c>
      <c r="D93" s="29" t="s">
        <v>728</v>
      </c>
      <c r="E93" s="29">
        <v>0</v>
      </c>
      <c r="F93" s="29" t="s">
        <v>1515</v>
      </c>
      <c r="G93" s="29" t="s">
        <v>726</v>
      </c>
      <c r="H93" s="29">
        <v>2023</v>
      </c>
      <c r="I93" s="29" t="s">
        <v>1536</v>
      </c>
      <c r="J93" s="29" t="s">
        <v>1531</v>
      </c>
      <c r="K93" s="29"/>
      <c r="L93" s="38" t="s">
        <v>1543</v>
      </c>
      <c r="M93" s="29">
        <v>92</v>
      </c>
    </row>
    <row r="94" spans="1:13">
      <c r="A94" s="29">
        <v>93</v>
      </c>
      <c r="B94" s="38" t="s">
        <v>467</v>
      </c>
      <c r="C94" s="29" t="s">
        <v>729</v>
      </c>
      <c r="D94" s="29" t="s">
        <v>1556</v>
      </c>
      <c r="E94" s="29">
        <v>0</v>
      </c>
      <c r="F94" s="29" t="s">
        <v>1515</v>
      </c>
      <c r="G94" s="29" t="s">
        <v>730</v>
      </c>
      <c r="H94" s="29">
        <v>2023</v>
      </c>
      <c r="I94" s="29" t="s">
        <v>1536</v>
      </c>
      <c r="J94" s="29" t="s">
        <v>1531</v>
      </c>
      <c r="K94" s="29"/>
      <c r="L94" s="38" t="s">
        <v>1557</v>
      </c>
      <c r="M94" s="29">
        <v>93</v>
      </c>
    </row>
    <row r="95" spans="1:13">
      <c r="A95" s="29">
        <v>94</v>
      </c>
      <c r="B95" s="38" t="s">
        <v>467</v>
      </c>
      <c r="C95" s="29" t="s">
        <v>731</v>
      </c>
      <c r="D95" s="29" t="s">
        <v>1558</v>
      </c>
      <c r="E95" s="29">
        <v>0</v>
      </c>
      <c r="F95" s="29" t="s">
        <v>1515</v>
      </c>
      <c r="G95" s="29" t="s">
        <v>732</v>
      </c>
      <c r="H95" s="29">
        <v>2023</v>
      </c>
      <c r="I95" s="29" t="s">
        <v>1536</v>
      </c>
      <c r="J95" s="29" t="s">
        <v>1531</v>
      </c>
      <c r="K95" s="29"/>
      <c r="L95" s="38" t="s">
        <v>1559</v>
      </c>
      <c r="M95" s="29">
        <v>94</v>
      </c>
    </row>
    <row r="96" spans="1:13">
      <c r="A96" s="29">
        <v>95</v>
      </c>
      <c r="B96" s="38" t="s">
        <v>467</v>
      </c>
      <c r="C96" s="29" t="s">
        <v>733</v>
      </c>
      <c r="D96" s="29" t="s">
        <v>734</v>
      </c>
      <c r="E96" s="29">
        <v>0</v>
      </c>
      <c r="F96" s="29" t="s">
        <v>1515</v>
      </c>
      <c r="G96" s="29" t="s">
        <v>735</v>
      </c>
      <c r="H96" s="29">
        <v>2023</v>
      </c>
      <c r="I96" s="29" t="s">
        <v>1531</v>
      </c>
      <c r="J96" s="29"/>
      <c r="K96" s="29"/>
      <c r="L96" s="38" t="s">
        <v>1534</v>
      </c>
      <c r="M96" s="29">
        <v>95</v>
      </c>
    </row>
    <row r="97" spans="1:13">
      <c r="A97" s="29">
        <v>96</v>
      </c>
      <c r="B97" s="38" t="s">
        <v>467</v>
      </c>
      <c r="C97" s="29" t="s">
        <v>736</v>
      </c>
      <c r="D97" s="29" t="s">
        <v>737</v>
      </c>
      <c r="E97" s="29">
        <v>0</v>
      </c>
      <c r="F97" s="29" t="s">
        <v>1515</v>
      </c>
      <c r="G97" s="29" t="s">
        <v>738</v>
      </c>
      <c r="H97" s="29">
        <v>2023</v>
      </c>
      <c r="I97" s="29" t="s">
        <v>1531</v>
      </c>
      <c r="J97" s="29"/>
      <c r="K97" s="29"/>
      <c r="L97" s="38" t="s">
        <v>1534</v>
      </c>
      <c r="M97" s="29">
        <v>96</v>
      </c>
    </row>
    <row r="98" spans="1:13">
      <c r="A98" s="29">
        <v>97</v>
      </c>
      <c r="B98" s="38" t="s">
        <v>467</v>
      </c>
      <c r="C98" s="29" t="s">
        <v>739</v>
      </c>
      <c r="D98" s="29" t="s">
        <v>740</v>
      </c>
      <c r="E98" s="29">
        <v>0</v>
      </c>
      <c r="F98" s="29" t="s">
        <v>1515</v>
      </c>
      <c r="G98" s="29" t="s">
        <v>741</v>
      </c>
      <c r="H98" s="29">
        <v>2023</v>
      </c>
      <c r="I98" s="29" t="s">
        <v>1531</v>
      </c>
      <c r="J98" s="29"/>
      <c r="K98" s="29"/>
      <c r="L98" s="38" t="s">
        <v>1534</v>
      </c>
      <c r="M98" s="29">
        <v>97</v>
      </c>
    </row>
    <row r="99" spans="1:13">
      <c r="A99" s="29">
        <v>98</v>
      </c>
      <c r="B99" s="38" t="s">
        <v>467</v>
      </c>
      <c r="C99" s="29" t="s">
        <v>742</v>
      </c>
      <c r="D99" s="29" t="s">
        <v>743</v>
      </c>
      <c r="E99" s="29">
        <v>0</v>
      </c>
      <c r="F99" s="29" t="s">
        <v>1515</v>
      </c>
      <c r="G99" s="29" t="s">
        <v>588</v>
      </c>
      <c r="H99" s="29">
        <v>2023</v>
      </c>
      <c r="I99" s="29" t="s">
        <v>1531</v>
      </c>
      <c r="J99" s="29"/>
      <c r="K99" s="29"/>
      <c r="L99" s="38" t="s">
        <v>1534</v>
      </c>
      <c r="M99" s="29">
        <v>98</v>
      </c>
    </row>
    <row r="100" spans="1:13">
      <c r="A100" s="29">
        <v>99</v>
      </c>
      <c r="B100" s="38" t="s">
        <v>467</v>
      </c>
      <c r="C100" s="29" t="s">
        <v>744</v>
      </c>
      <c r="D100" s="29" t="s">
        <v>745</v>
      </c>
      <c r="E100" s="29">
        <v>0</v>
      </c>
      <c r="F100" s="29" t="s">
        <v>1515</v>
      </c>
      <c r="G100" s="29" t="s">
        <v>746</v>
      </c>
      <c r="H100" s="29">
        <v>2023</v>
      </c>
      <c r="I100" s="29" t="s">
        <v>1536</v>
      </c>
      <c r="J100" s="29" t="s">
        <v>1531</v>
      </c>
      <c r="K100" s="29"/>
      <c r="L100" s="38" t="s">
        <v>1560</v>
      </c>
      <c r="M100" s="29">
        <v>99</v>
      </c>
    </row>
    <row r="101" spans="1:13">
      <c r="A101" s="29">
        <v>100</v>
      </c>
      <c r="B101" s="38" t="s">
        <v>467</v>
      </c>
      <c r="C101" s="29" t="s">
        <v>747</v>
      </c>
      <c r="D101" s="29" t="s">
        <v>748</v>
      </c>
      <c r="E101" s="29">
        <v>0</v>
      </c>
      <c r="F101" s="29" t="s">
        <v>1515</v>
      </c>
      <c r="G101" s="29" t="s">
        <v>749</v>
      </c>
      <c r="H101" s="29">
        <v>2023</v>
      </c>
      <c r="I101" s="29" t="s">
        <v>1531</v>
      </c>
      <c r="J101" s="29"/>
      <c r="K101" s="29"/>
      <c r="L101" s="38" t="s">
        <v>1534</v>
      </c>
      <c r="M101" s="29">
        <v>100</v>
      </c>
    </row>
    <row r="102" spans="1:13">
      <c r="A102" s="29">
        <v>101</v>
      </c>
      <c r="B102" s="38" t="s">
        <v>467</v>
      </c>
      <c r="C102" s="29" t="s">
        <v>750</v>
      </c>
      <c r="D102" s="29" t="s">
        <v>751</v>
      </c>
      <c r="E102" s="29">
        <v>0</v>
      </c>
      <c r="F102" s="29" t="s">
        <v>1515</v>
      </c>
      <c r="G102" s="29" t="s">
        <v>752</v>
      </c>
      <c r="H102" s="29">
        <v>2023</v>
      </c>
      <c r="I102" s="29" t="s">
        <v>1531</v>
      </c>
      <c r="J102" s="29"/>
      <c r="K102" s="29"/>
      <c r="L102" s="38" t="s">
        <v>1534</v>
      </c>
      <c r="M102" s="29">
        <v>101</v>
      </c>
    </row>
    <row r="103" spans="1:13">
      <c r="A103" s="29">
        <v>102</v>
      </c>
      <c r="B103" s="38" t="s">
        <v>467</v>
      </c>
      <c r="C103" s="29" t="s">
        <v>753</v>
      </c>
      <c r="D103" s="29" t="s">
        <v>754</v>
      </c>
      <c r="E103" s="29">
        <v>0</v>
      </c>
      <c r="F103" s="29" t="s">
        <v>1515</v>
      </c>
      <c r="G103" s="29" t="s">
        <v>755</v>
      </c>
      <c r="H103" s="29">
        <v>2023</v>
      </c>
      <c r="I103" s="29" t="s">
        <v>1531</v>
      </c>
      <c r="J103" s="29"/>
      <c r="K103" s="29"/>
      <c r="L103" s="38" t="s">
        <v>1534</v>
      </c>
      <c r="M103" s="29">
        <v>102</v>
      </c>
    </row>
    <row r="104" spans="1:13">
      <c r="A104" s="29">
        <v>103</v>
      </c>
      <c r="B104" s="38" t="s">
        <v>467</v>
      </c>
      <c r="C104" s="29" t="s">
        <v>756</v>
      </c>
      <c r="D104" s="29" t="s">
        <v>757</v>
      </c>
      <c r="E104" s="29">
        <v>0</v>
      </c>
      <c r="F104" s="29" t="s">
        <v>1515</v>
      </c>
      <c r="G104" s="29" t="s">
        <v>758</v>
      </c>
      <c r="H104" s="29">
        <v>2023</v>
      </c>
      <c r="I104" s="29" t="s">
        <v>1531</v>
      </c>
      <c r="J104" s="29"/>
      <c r="K104" s="29"/>
      <c r="L104" s="38" t="s">
        <v>1534</v>
      </c>
      <c r="M104" s="29">
        <v>103</v>
      </c>
    </row>
    <row r="105" spans="1:13">
      <c r="A105" s="29">
        <v>104</v>
      </c>
      <c r="B105" s="38" t="s">
        <v>467</v>
      </c>
      <c r="C105" s="29" t="s">
        <v>759</v>
      </c>
      <c r="D105" s="29" t="s">
        <v>760</v>
      </c>
      <c r="E105" s="29">
        <v>0</v>
      </c>
      <c r="F105" s="29" t="s">
        <v>1515</v>
      </c>
      <c r="G105" s="29" t="s">
        <v>761</v>
      </c>
      <c r="H105" s="29">
        <v>2023</v>
      </c>
      <c r="I105" s="29" t="s">
        <v>1531</v>
      </c>
      <c r="J105" s="29"/>
      <c r="K105" s="29"/>
      <c r="L105" s="38" t="s">
        <v>1534</v>
      </c>
      <c r="M105" s="29">
        <v>104</v>
      </c>
    </row>
    <row r="106" spans="1:13">
      <c r="A106" s="29">
        <v>105</v>
      </c>
      <c r="B106" s="38" t="s">
        <v>467</v>
      </c>
      <c r="C106" s="29" t="s">
        <v>762</v>
      </c>
      <c r="D106" s="29" t="s">
        <v>763</v>
      </c>
      <c r="E106" s="29">
        <v>0</v>
      </c>
      <c r="F106" s="29" t="s">
        <v>1515</v>
      </c>
      <c r="G106" s="29" t="s">
        <v>582</v>
      </c>
      <c r="H106" s="29">
        <v>2023</v>
      </c>
      <c r="I106" s="29" t="s">
        <v>1531</v>
      </c>
      <c r="J106" s="29"/>
      <c r="K106" s="29"/>
      <c r="L106" s="38" t="s">
        <v>1534</v>
      </c>
      <c r="M106" s="29">
        <v>105</v>
      </c>
    </row>
    <row r="107" spans="1:13">
      <c r="A107" s="29">
        <v>106</v>
      </c>
      <c r="B107" s="38" t="s">
        <v>467</v>
      </c>
      <c r="C107" s="29" t="s">
        <v>764</v>
      </c>
      <c r="D107" s="29" t="s">
        <v>765</v>
      </c>
      <c r="E107" s="29">
        <v>0</v>
      </c>
      <c r="F107" s="29" t="s">
        <v>1515</v>
      </c>
      <c r="G107" s="29" t="s">
        <v>766</v>
      </c>
      <c r="H107" s="29">
        <v>2023</v>
      </c>
      <c r="I107" s="29" t="s">
        <v>1531</v>
      </c>
      <c r="J107" s="29"/>
      <c r="K107" s="29"/>
      <c r="L107" s="38" t="s">
        <v>1534</v>
      </c>
      <c r="M107" s="29">
        <v>106</v>
      </c>
    </row>
    <row r="108" spans="1:13">
      <c r="A108" s="29">
        <v>107</v>
      </c>
      <c r="B108" s="38" t="s">
        <v>467</v>
      </c>
      <c r="C108" s="29" t="s">
        <v>767</v>
      </c>
      <c r="D108" s="29" t="s">
        <v>768</v>
      </c>
      <c r="E108" s="29">
        <v>0</v>
      </c>
      <c r="F108" s="29" t="s">
        <v>1515</v>
      </c>
      <c r="G108" s="29" t="s">
        <v>493</v>
      </c>
      <c r="H108" s="29">
        <v>2023</v>
      </c>
      <c r="I108" s="29" t="s">
        <v>1531</v>
      </c>
      <c r="J108" s="29"/>
      <c r="K108" s="29"/>
      <c r="L108" s="38" t="s">
        <v>1534</v>
      </c>
      <c r="M108" s="29">
        <v>107</v>
      </c>
    </row>
    <row r="109" spans="1:13">
      <c r="A109" s="29">
        <v>108</v>
      </c>
      <c r="B109" s="38" t="s">
        <v>467</v>
      </c>
      <c r="C109" s="29" t="s">
        <v>769</v>
      </c>
      <c r="D109" s="29" t="s">
        <v>770</v>
      </c>
      <c r="E109" s="29">
        <v>0</v>
      </c>
      <c r="F109" s="29" t="s">
        <v>1515</v>
      </c>
      <c r="G109" s="29" t="s">
        <v>771</v>
      </c>
      <c r="H109" s="29">
        <v>2023</v>
      </c>
      <c r="I109" s="29" t="s">
        <v>1531</v>
      </c>
      <c r="J109" s="29"/>
      <c r="K109" s="29"/>
      <c r="L109" s="38" t="s">
        <v>1534</v>
      </c>
      <c r="M109" s="29">
        <v>108</v>
      </c>
    </row>
    <row r="110" spans="1:13">
      <c r="A110" s="29">
        <v>109</v>
      </c>
      <c r="B110" s="38" t="s">
        <v>467</v>
      </c>
      <c r="C110" s="29" t="s">
        <v>772</v>
      </c>
      <c r="D110" s="29" t="s">
        <v>773</v>
      </c>
      <c r="E110" s="29">
        <v>0</v>
      </c>
      <c r="F110" s="29" t="s">
        <v>1515</v>
      </c>
      <c r="G110" s="29" t="s">
        <v>774</v>
      </c>
      <c r="H110" s="29">
        <v>2023</v>
      </c>
      <c r="I110" s="29" t="s">
        <v>1531</v>
      </c>
      <c r="J110" s="29"/>
      <c r="K110" s="29"/>
      <c r="L110" s="38" t="s">
        <v>1534</v>
      </c>
      <c r="M110" s="29">
        <v>109</v>
      </c>
    </row>
    <row r="111" spans="1:13">
      <c r="A111" s="29">
        <v>110</v>
      </c>
      <c r="B111" s="38" t="s">
        <v>467</v>
      </c>
      <c r="C111" s="29" t="s">
        <v>775</v>
      </c>
      <c r="D111" s="29" t="s">
        <v>776</v>
      </c>
      <c r="E111" s="29">
        <v>0</v>
      </c>
      <c r="F111" s="29" t="s">
        <v>1515</v>
      </c>
      <c r="G111" s="29" t="s">
        <v>777</v>
      </c>
      <c r="H111" s="29">
        <v>2023</v>
      </c>
      <c r="I111" s="29" t="s">
        <v>1531</v>
      </c>
      <c r="J111" s="29"/>
      <c r="K111" s="29"/>
      <c r="L111" s="38" t="s">
        <v>1534</v>
      </c>
      <c r="M111" s="29">
        <v>110</v>
      </c>
    </row>
    <row r="112" spans="1:13">
      <c r="A112" s="29">
        <v>111</v>
      </c>
      <c r="B112" s="38" t="s">
        <v>467</v>
      </c>
      <c r="C112" s="29" t="s">
        <v>778</v>
      </c>
      <c r="D112" s="29" t="s">
        <v>779</v>
      </c>
      <c r="E112" s="29">
        <v>0</v>
      </c>
      <c r="F112" s="29" t="s">
        <v>1515</v>
      </c>
      <c r="G112" s="29" t="s">
        <v>780</v>
      </c>
      <c r="H112" s="29">
        <v>2023</v>
      </c>
      <c r="I112" s="29" t="s">
        <v>1531</v>
      </c>
      <c r="J112" s="29"/>
      <c r="K112" s="29"/>
      <c r="L112" s="38" t="s">
        <v>1534</v>
      </c>
      <c r="M112" s="29">
        <v>111</v>
      </c>
    </row>
    <row r="113" spans="1:13">
      <c r="A113" s="29">
        <v>112</v>
      </c>
      <c r="B113" s="38" t="s">
        <v>467</v>
      </c>
      <c r="C113" s="29" t="s">
        <v>781</v>
      </c>
      <c r="D113" s="29" t="s">
        <v>782</v>
      </c>
      <c r="E113" s="29">
        <v>0</v>
      </c>
      <c r="F113" s="29" t="s">
        <v>1515</v>
      </c>
      <c r="G113" s="29" t="s">
        <v>624</v>
      </c>
      <c r="H113" s="29">
        <v>2023</v>
      </c>
      <c r="I113" s="29" t="s">
        <v>1536</v>
      </c>
      <c r="J113" s="29" t="s">
        <v>1536</v>
      </c>
      <c r="K113" s="29" t="s">
        <v>1531</v>
      </c>
      <c r="L113" s="38" t="s">
        <v>1561</v>
      </c>
      <c r="M113" s="29">
        <v>112</v>
      </c>
    </row>
    <row r="114" spans="1:13">
      <c r="A114" s="29">
        <v>113</v>
      </c>
      <c r="B114" s="38" t="s">
        <v>467</v>
      </c>
      <c r="C114" s="29" t="s">
        <v>783</v>
      </c>
      <c r="D114" s="29" t="s">
        <v>784</v>
      </c>
      <c r="E114" s="29">
        <v>1</v>
      </c>
      <c r="F114" s="29" t="s">
        <v>1515</v>
      </c>
      <c r="G114" s="29" t="s">
        <v>766</v>
      </c>
      <c r="H114" s="29">
        <v>2023</v>
      </c>
      <c r="I114" s="29" t="s">
        <v>1536</v>
      </c>
      <c r="J114" s="29" t="s">
        <v>1536</v>
      </c>
      <c r="K114" s="29" t="s">
        <v>1536</v>
      </c>
      <c r="L114" s="38"/>
      <c r="M114" s="29">
        <v>113</v>
      </c>
    </row>
    <row r="115" spans="1:13">
      <c r="A115" s="29">
        <v>114</v>
      </c>
      <c r="B115" s="38" t="s">
        <v>467</v>
      </c>
      <c r="C115" s="29" t="s">
        <v>785</v>
      </c>
      <c r="D115" s="29" t="s">
        <v>786</v>
      </c>
      <c r="E115" s="29">
        <v>1</v>
      </c>
      <c r="F115" s="29" t="s">
        <v>1515</v>
      </c>
      <c r="G115" s="29" t="s">
        <v>787</v>
      </c>
      <c r="H115" s="29">
        <v>2023</v>
      </c>
      <c r="I115" s="29" t="s">
        <v>1536</v>
      </c>
      <c r="J115" s="29" t="s">
        <v>1536</v>
      </c>
      <c r="K115" s="29" t="s">
        <v>1536</v>
      </c>
      <c r="L115" s="38"/>
      <c r="M115" s="29">
        <v>114</v>
      </c>
    </row>
    <row r="116" spans="1:13">
      <c r="A116" s="29">
        <v>115</v>
      </c>
      <c r="B116" s="38" t="s">
        <v>467</v>
      </c>
      <c r="C116" s="29" t="s">
        <v>788</v>
      </c>
      <c r="D116" s="29" t="s">
        <v>789</v>
      </c>
      <c r="E116" s="29">
        <v>0</v>
      </c>
      <c r="F116" s="29" t="s">
        <v>1515</v>
      </c>
      <c r="G116" s="29" t="s">
        <v>766</v>
      </c>
      <c r="H116" s="29">
        <v>2023</v>
      </c>
      <c r="I116" s="29" t="s">
        <v>1536</v>
      </c>
      <c r="J116" s="29" t="s">
        <v>1531</v>
      </c>
      <c r="K116" s="29"/>
      <c r="L116" s="38" t="s">
        <v>1538</v>
      </c>
      <c r="M116" s="29">
        <v>115</v>
      </c>
    </row>
    <row r="117" spans="1:13" ht="26.4">
      <c r="A117" s="29">
        <v>116</v>
      </c>
      <c r="B117" s="38" t="s">
        <v>464</v>
      </c>
      <c r="C117" s="29" t="s">
        <v>790</v>
      </c>
      <c r="D117" s="29" t="s">
        <v>1562</v>
      </c>
      <c r="E117" s="29">
        <v>0</v>
      </c>
      <c r="F117" s="29" t="s">
        <v>1515</v>
      </c>
      <c r="G117" s="29" t="s">
        <v>791</v>
      </c>
      <c r="H117" s="29">
        <v>2024</v>
      </c>
      <c r="I117" s="29" t="s">
        <v>1536</v>
      </c>
      <c r="J117" s="29" t="s">
        <v>1531</v>
      </c>
      <c r="K117" s="29"/>
      <c r="L117" s="38" t="s">
        <v>1563</v>
      </c>
      <c r="M117" s="29">
        <v>116</v>
      </c>
    </row>
    <row r="118" spans="1:13">
      <c r="A118" s="29">
        <v>117</v>
      </c>
      <c r="B118" s="38" t="s">
        <v>467</v>
      </c>
      <c r="C118" s="29" t="s">
        <v>792</v>
      </c>
      <c r="D118" s="29" t="s">
        <v>793</v>
      </c>
      <c r="E118" s="29">
        <v>1</v>
      </c>
      <c r="F118" s="29" t="s">
        <v>1515</v>
      </c>
      <c r="G118" s="29" t="s">
        <v>794</v>
      </c>
      <c r="H118" s="29">
        <v>2024</v>
      </c>
      <c r="I118" s="29" t="s">
        <v>1536</v>
      </c>
      <c r="J118" s="29" t="s">
        <v>1536</v>
      </c>
      <c r="K118" s="29" t="s">
        <v>1536</v>
      </c>
      <c r="L118" s="38"/>
      <c r="M118" s="29">
        <v>117</v>
      </c>
    </row>
    <row r="119" spans="1:13">
      <c r="A119" s="29">
        <v>118</v>
      </c>
      <c r="B119" s="38" t="s">
        <v>464</v>
      </c>
      <c r="C119" s="29" t="s">
        <v>795</v>
      </c>
      <c r="D119" s="29" t="s">
        <v>796</v>
      </c>
      <c r="E119" s="29">
        <v>0</v>
      </c>
      <c r="F119" s="29" t="s">
        <v>1515</v>
      </c>
      <c r="G119" s="29" t="s">
        <v>797</v>
      </c>
      <c r="H119" s="29">
        <v>2024</v>
      </c>
      <c r="I119" s="29" t="s">
        <v>1531</v>
      </c>
      <c r="J119" s="29"/>
      <c r="K119" s="29"/>
      <c r="L119" s="38" t="s">
        <v>1534</v>
      </c>
      <c r="M119" s="29">
        <v>118</v>
      </c>
    </row>
    <row r="120" spans="1:13">
      <c r="A120" s="29">
        <v>119</v>
      </c>
      <c r="B120" s="38" t="s">
        <v>467</v>
      </c>
      <c r="C120" s="29" t="s">
        <v>798</v>
      </c>
      <c r="D120" s="29" t="s">
        <v>799</v>
      </c>
      <c r="E120" s="29">
        <v>0</v>
      </c>
      <c r="F120" s="29" t="s">
        <v>1515</v>
      </c>
      <c r="G120" s="29" t="s">
        <v>800</v>
      </c>
      <c r="H120" s="29">
        <v>2024</v>
      </c>
      <c r="I120" s="29" t="s">
        <v>1536</v>
      </c>
      <c r="J120" s="29" t="s">
        <v>1531</v>
      </c>
      <c r="K120" s="29"/>
      <c r="L120" s="38" t="s">
        <v>1543</v>
      </c>
      <c r="M120" s="29">
        <v>119</v>
      </c>
    </row>
    <row r="121" spans="1:13">
      <c r="A121" s="29">
        <v>120</v>
      </c>
      <c r="B121" s="38" t="s">
        <v>467</v>
      </c>
      <c r="C121" s="29" t="s">
        <v>801</v>
      </c>
      <c r="D121" s="29" t="s">
        <v>1564</v>
      </c>
      <c r="E121" s="29">
        <v>0</v>
      </c>
      <c r="F121" s="29" t="s">
        <v>1515</v>
      </c>
      <c r="G121" s="29" t="s">
        <v>802</v>
      </c>
      <c r="H121" s="29">
        <v>2024</v>
      </c>
      <c r="I121" s="29" t="s">
        <v>1531</v>
      </c>
      <c r="J121" s="29"/>
      <c r="K121" s="29"/>
      <c r="L121" s="38" t="s">
        <v>1565</v>
      </c>
      <c r="M121" s="29">
        <v>120</v>
      </c>
    </row>
    <row r="122" spans="1:13">
      <c r="A122" s="29">
        <v>121</v>
      </c>
      <c r="B122" s="38" t="s">
        <v>464</v>
      </c>
      <c r="C122" s="29" t="s">
        <v>803</v>
      </c>
      <c r="D122" s="29" t="s">
        <v>804</v>
      </c>
      <c r="E122" s="29">
        <v>0</v>
      </c>
      <c r="F122" s="29" t="s">
        <v>1515</v>
      </c>
      <c r="G122" s="29" t="s">
        <v>805</v>
      </c>
      <c r="H122" s="29">
        <v>2024</v>
      </c>
      <c r="I122" s="29" t="s">
        <v>1531</v>
      </c>
      <c r="J122" s="29"/>
      <c r="K122" s="29"/>
      <c r="L122" s="38" t="s">
        <v>1534</v>
      </c>
      <c r="M122" s="29">
        <v>121</v>
      </c>
    </row>
    <row r="123" spans="1:13">
      <c r="A123" s="29">
        <v>122</v>
      </c>
      <c r="B123" s="38" t="s">
        <v>467</v>
      </c>
      <c r="C123" s="29" t="s">
        <v>806</v>
      </c>
      <c r="D123" s="29" t="s">
        <v>807</v>
      </c>
      <c r="E123" s="29">
        <v>0</v>
      </c>
      <c r="F123" s="29" t="s">
        <v>1515</v>
      </c>
      <c r="G123" s="29" t="s">
        <v>808</v>
      </c>
      <c r="H123" s="29">
        <v>2024</v>
      </c>
      <c r="I123" s="29" t="s">
        <v>1531</v>
      </c>
      <c r="J123" s="29"/>
      <c r="K123" s="29"/>
      <c r="L123" s="38" t="s">
        <v>1534</v>
      </c>
      <c r="M123" s="29">
        <v>122</v>
      </c>
    </row>
    <row r="124" spans="1:13">
      <c r="A124" s="29">
        <v>123</v>
      </c>
      <c r="B124" s="38" t="s">
        <v>467</v>
      </c>
      <c r="C124" s="29" t="s">
        <v>809</v>
      </c>
      <c r="D124" s="29" t="s">
        <v>810</v>
      </c>
      <c r="E124" s="29">
        <v>0</v>
      </c>
      <c r="F124" s="29" t="s">
        <v>1515</v>
      </c>
      <c r="G124" s="29" t="s">
        <v>811</v>
      </c>
      <c r="H124" s="29">
        <v>2024</v>
      </c>
      <c r="I124" s="29" t="s">
        <v>1531</v>
      </c>
      <c r="J124" s="29"/>
      <c r="K124" s="29"/>
      <c r="L124" s="38" t="s">
        <v>1534</v>
      </c>
      <c r="M124" s="29">
        <v>123</v>
      </c>
    </row>
    <row r="125" spans="1:13">
      <c r="A125" s="29">
        <v>124</v>
      </c>
      <c r="B125" s="38" t="s">
        <v>464</v>
      </c>
      <c r="C125" s="29" t="s">
        <v>812</v>
      </c>
      <c r="D125" s="29" t="s">
        <v>813</v>
      </c>
      <c r="E125" s="29">
        <v>0</v>
      </c>
      <c r="F125" s="29" t="s">
        <v>1515</v>
      </c>
      <c r="G125" s="29" t="s">
        <v>814</v>
      </c>
      <c r="H125" s="29">
        <v>2024</v>
      </c>
      <c r="I125" s="29" t="s">
        <v>1536</v>
      </c>
      <c r="J125" s="29" t="s">
        <v>1531</v>
      </c>
      <c r="K125" s="29"/>
      <c r="L125" s="38" t="s">
        <v>1566</v>
      </c>
      <c r="M125" s="29">
        <v>124</v>
      </c>
    </row>
    <row r="126" spans="1:13">
      <c r="A126" s="29">
        <v>125</v>
      </c>
      <c r="B126" s="38" t="s">
        <v>464</v>
      </c>
      <c r="C126" s="29" t="s">
        <v>815</v>
      </c>
      <c r="D126" s="29" t="s">
        <v>816</v>
      </c>
      <c r="E126" s="29">
        <v>0</v>
      </c>
      <c r="F126" s="29" t="s">
        <v>1515</v>
      </c>
      <c r="G126" s="29" t="s">
        <v>817</v>
      </c>
      <c r="H126" s="29">
        <v>2024</v>
      </c>
      <c r="I126" s="29" t="s">
        <v>1536</v>
      </c>
      <c r="J126" s="29" t="s">
        <v>1536</v>
      </c>
      <c r="K126" s="29" t="s">
        <v>1531</v>
      </c>
      <c r="L126" s="38" t="s">
        <v>1567</v>
      </c>
      <c r="M126" s="29">
        <v>125</v>
      </c>
    </row>
    <row r="127" spans="1:13">
      <c r="A127" s="29">
        <v>126</v>
      </c>
      <c r="B127" s="38" t="s">
        <v>464</v>
      </c>
      <c r="C127" s="29" t="s">
        <v>818</v>
      </c>
      <c r="D127" s="29" t="s">
        <v>819</v>
      </c>
      <c r="E127" s="29">
        <v>1</v>
      </c>
      <c r="F127" s="29" t="s">
        <v>1515</v>
      </c>
      <c r="G127" s="29" t="s">
        <v>820</v>
      </c>
      <c r="H127" s="29">
        <v>2024</v>
      </c>
      <c r="I127" s="29" t="s">
        <v>1536</v>
      </c>
      <c r="J127" s="29" t="s">
        <v>1536</v>
      </c>
      <c r="K127" s="29" t="s">
        <v>1536</v>
      </c>
      <c r="L127" s="38"/>
      <c r="M127" s="29">
        <v>126</v>
      </c>
    </row>
    <row r="128" spans="1:13">
      <c r="A128" s="29">
        <v>127</v>
      </c>
      <c r="B128" s="38" t="s">
        <v>464</v>
      </c>
      <c r="C128" s="29" t="s">
        <v>822</v>
      </c>
      <c r="D128" s="29" t="s">
        <v>823</v>
      </c>
      <c r="E128" s="29">
        <v>0</v>
      </c>
      <c r="F128" s="29" t="s">
        <v>1515</v>
      </c>
      <c r="G128" s="29" t="s">
        <v>824</v>
      </c>
      <c r="H128" s="29">
        <v>2024</v>
      </c>
      <c r="I128" s="29" t="s">
        <v>1531</v>
      </c>
      <c r="J128" s="29"/>
      <c r="K128" s="29"/>
      <c r="L128" s="38" t="s">
        <v>1534</v>
      </c>
      <c r="M128" s="29">
        <v>127</v>
      </c>
    </row>
    <row r="129" spans="1:13">
      <c r="A129" s="29">
        <v>128</v>
      </c>
      <c r="B129" s="38" t="s">
        <v>464</v>
      </c>
      <c r="C129" s="29" t="s">
        <v>825</v>
      </c>
      <c r="D129" s="29" t="s">
        <v>1568</v>
      </c>
      <c r="E129" s="29">
        <v>0</v>
      </c>
      <c r="F129" s="29" t="s">
        <v>1569</v>
      </c>
      <c r="G129" s="29" t="s">
        <v>826</v>
      </c>
      <c r="H129" s="29">
        <v>2024</v>
      </c>
      <c r="I129" s="29" t="s">
        <v>1531</v>
      </c>
      <c r="J129" s="29"/>
      <c r="K129" s="29"/>
      <c r="L129" s="38" t="s">
        <v>1532</v>
      </c>
      <c r="M129" s="29">
        <v>128</v>
      </c>
    </row>
    <row r="130" spans="1:13">
      <c r="A130" s="29">
        <v>129</v>
      </c>
      <c r="B130" s="38" t="s">
        <v>467</v>
      </c>
      <c r="C130" s="29" t="s">
        <v>827</v>
      </c>
      <c r="D130" s="29" t="s">
        <v>415</v>
      </c>
      <c r="E130" s="29">
        <v>1</v>
      </c>
      <c r="F130" s="29" t="s">
        <v>1515</v>
      </c>
      <c r="G130" s="29" t="s">
        <v>811</v>
      </c>
      <c r="H130" s="29">
        <v>2024</v>
      </c>
      <c r="I130" s="29" t="s">
        <v>1536</v>
      </c>
      <c r="J130" s="29" t="s">
        <v>1536</v>
      </c>
      <c r="K130" s="29" t="s">
        <v>1536</v>
      </c>
      <c r="L130" s="38"/>
      <c r="M130" s="29">
        <v>129</v>
      </c>
    </row>
    <row r="131" spans="1:13">
      <c r="A131" s="29">
        <v>130</v>
      </c>
      <c r="B131" s="38" t="s">
        <v>467</v>
      </c>
      <c r="C131" s="29" t="s">
        <v>828</v>
      </c>
      <c r="D131" s="29" t="s">
        <v>1570</v>
      </c>
      <c r="E131" s="29">
        <v>0</v>
      </c>
      <c r="F131" s="29" t="s">
        <v>1515</v>
      </c>
      <c r="G131" s="29" t="s">
        <v>829</v>
      </c>
      <c r="H131" s="29">
        <v>2024</v>
      </c>
      <c r="I131" s="29" t="s">
        <v>1536</v>
      </c>
      <c r="J131" s="29" t="s">
        <v>1531</v>
      </c>
      <c r="K131" s="29"/>
      <c r="L131" s="38" t="s">
        <v>1571</v>
      </c>
      <c r="M131" s="29">
        <v>130</v>
      </c>
    </row>
    <row r="132" spans="1:13">
      <c r="A132" s="29">
        <v>131</v>
      </c>
      <c r="B132" s="38" t="s">
        <v>464</v>
      </c>
      <c r="C132" s="29" t="s">
        <v>830</v>
      </c>
      <c r="D132" s="29" t="s">
        <v>831</v>
      </c>
      <c r="E132" s="29">
        <v>0</v>
      </c>
      <c r="F132" s="29" t="s">
        <v>1515</v>
      </c>
      <c r="G132" s="29" t="s">
        <v>832</v>
      </c>
      <c r="H132" s="29">
        <v>2024</v>
      </c>
      <c r="I132" s="29" t="s">
        <v>1536</v>
      </c>
      <c r="J132" s="29" t="s">
        <v>1531</v>
      </c>
      <c r="K132" s="29"/>
      <c r="L132" s="38" t="s">
        <v>1543</v>
      </c>
      <c r="M132" s="29">
        <v>131</v>
      </c>
    </row>
    <row r="133" spans="1:13">
      <c r="A133" s="29">
        <v>132</v>
      </c>
      <c r="B133" s="38" t="s">
        <v>464</v>
      </c>
      <c r="C133" s="29" t="s">
        <v>833</v>
      </c>
      <c r="D133" s="29" t="s">
        <v>834</v>
      </c>
      <c r="E133" s="29">
        <v>0</v>
      </c>
      <c r="F133" s="29" t="s">
        <v>1515</v>
      </c>
      <c r="G133" s="29" t="s">
        <v>835</v>
      </c>
      <c r="H133" s="29">
        <v>2024</v>
      </c>
      <c r="I133" s="29" t="s">
        <v>1531</v>
      </c>
      <c r="J133" s="29"/>
      <c r="K133" s="29"/>
      <c r="L133" s="38" t="s">
        <v>1534</v>
      </c>
      <c r="M133" s="29">
        <v>132</v>
      </c>
    </row>
    <row r="134" spans="1:13" ht="26.4">
      <c r="A134" s="29">
        <v>133</v>
      </c>
      <c r="B134" s="38" t="s">
        <v>464</v>
      </c>
      <c r="C134" s="29" t="s">
        <v>836</v>
      </c>
      <c r="D134" s="29" t="s">
        <v>1572</v>
      </c>
      <c r="E134" s="29">
        <v>0</v>
      </c>
      <c r="F134" s="29" t="s">
        <v>1515</v>
      </c>
      <c r="G134" s="29" t="s">
        <v>837</v>
      </c>
      <c r="H134" s="29">
        <v>2024</v>
      </c>
      <c r="I134" s="29" t="s">
        <v>1536</v>
      </c>
      <c r="J134" s="29" t="s">
        <v>1531</v>
      </c>
      <c r="K134" s="29"/>
      <c r="L134" s="38" t="s">
        <v>1573</v>
      </c>
      <c r="M134" s="29">
        <v>133</v>
      </c>
    </row>
    <row r="135" spans="1:13">
      <c r="A135" s="29">
        <v>134</v>
      </c>
      <c r="B135" s="38" t="s">
        <v>467</v>
      </c>
      <c r="C135" s="29" t="s">
        <v>838</v>
      </c>
      <c r="D135" s="29" t="s">
        <v>839</v>
      </c>
      <c r="E135" s="29">
        <v>0</v>
      </c>
      <c r="F135" s="29" t="s">
        <v>1515</v>
      </c>
      <c r="G135" s="29" t="s">
        <v>840</v>
      </c>
      <c r="H135" s="29">
        <v>2024</v>
      </c>
      <c r="I135" s="29" t="s">
        <v>1531</v>
      </c>
      <c r="J135" s="29"/>
      <c r="K135" s="29"/>
      <c r="L135" s="38" t="s">
        <v>1534</v>
      </c>
      <c r="M135" s="29">
        <v>134</v>
      </c>
    </row>
    <row r="136" spans="1:13">
      <c r="A136" s="29">
        <v>135</v>
      </c>
      <c r="B136" s="38" t="s">
        <v>467</v>
      </c>
      <c r="C136" s="29" t="s">
        <v>841</v>
      </c>
      <c r="D136" s="29" t="s">
        <v>842</v>
      </c>
      <c r="E136" s="29">
        <v>1</v>
      </c>
      <c r="F136" s="29" t="s">
        <v>1515</v>
      </c>
      <c r="G136" s="29" t="s">
        <v>843</v>
      </c>
      <c r="H136" s="29">
        <v>2024</v>
      </c>
      <c r="I136" s="29" t="s">
        <v>1536</v>
      </c>
      <c r="J136" s="29" t="s">
        <v>1536</v>
      </c>
      <c r="K136" s="29" t="s">
        <v>1536</v>
      </c>
      <c r="L136" s="38"/>
      <c r="M136" s="29">
        <v>135</v>
      </c>
    </row>
    <row r="137" spans="1:13">
      <c r="A137" s="29">
        <v>136</v>
      </c>
      <c r="B137" s="38" t="s">
        <v>467</v>
      </c>
      <c r="C137" s="29" t="s">
        <v>844</v>
      </c>
      <c r="D137" s="29" t="s">
        <v>845</v>
      </c>
      <c r="E137" s="29">
        <v>0</v>
      </c>
      <c r="F137" s="29" t="s">
        <v>1515</v>
      </c>
      <c r="G137" s="29" t="s">
        <v>846</v>
      </c>
      <c r="H137" s="29">
        <v>2024</v>
      </c>
      <c r="I137" s="29" t="s">
        <v>1536</v>
      </c>
      <c r="J137" s="29" t="s">
        <v>1531</v>
      </c>
      <c r="K137" s="29"/>
      <c r="L137" s="38" t="s">
        <v>1555</v>
      </c>
      <c r="M137" s="29">
        <v>136</v>
      </c>
    </row>
    <row r="138" spans="1:13">
      <c r="A138" s="29">
        <v>137</v>
      </c>
      <c r="B138" s="38" t="s">
        <v>464</v>
      </c>
      <c r="C138" s="29" t="s">
        <v>847</v>
      </c>
      <c r="D138" s="29" t="s">
        <v>848</v>
      </c>
      <c r="E138" s="29">
        <v>0</v>
      </c>
      <c r="F138" s="29" t="s">
        <v>1515</v>
      </c>
      <c r="G138" s="29" t="s">
        <v>849</v>
      </c>
      <c r="H138" s="29">
        <v>2024</v>
      </c>
      <c r="I138" s="29" t="s">
        <v>1531</v>
      </c>
      <c r="J138" s="29"/>
      <c r="K138" s="29"/>
      <c r="L138" s="38" t="s">
        <v>1534</v>
      </c>
      <c r="M138" s="29">
        <v>137</v>
      </c>
    </row>
    <row r="139" spans="1:13">
      <c r="A139" s="29">
        <v>138</v>
      </c>
      <c r="B139" s="38" t="s">
        <v>467</v>
      </c>
      <c r="C139" s="29" t="s">
        <v>850</v>
      </c>
      <c r="D139" s="29" t="s">
        <v>851</v>
      </c>
      <c r="E139" s="29">
        <v>0</v>
      </c>
      <c r="F139" s="29" t="s">
        <v>1515</v>
      </c>
      <c r="G139" s="29" t="s">
        <v>852</v>
      </c>
      <c r="H139" s="29">
        <v>2024</v>
      </c>
      <c r="I139" s="29" t="s">
        <v>1531</v>
      </c>
      <c r="J139" s="29"/>
      <c r="K139" s="29"/>
      <c r="L139" s="38" t="s">
        <v>1534</v>
      </c>
      <c r="M139" s="29">
        <v>138</v>
      </c>
    </row>
    <row r="140" spans="1:13">
      <c r="A140" s="29">
        <v>139</v>
      </c>
      <c r="B140" s="38" t="s">
        <v>464</v>
      </c>
      <c r="C140" s="29" t="s">
        <v>853</v>
      </c>
      <c r="D140" s="29" t="s">
        <v>854</v>
      </c>
      <c r="E140" s="29">
        <v>0</v>
      </c>
      <c r="F140" s="29" t="s">
        <v>1515</v>
      </c>
      <c r="G140" s="29" t="s">
        <v>849</v>
      </c>
      <c r="H140" s="29">
        <v>2024</v>
      </c>
      <c r="I140" s="29" t="s">
        <v>1531</v>
      </c>
      <c r="J140" s="29"/>
      <c r="K140" s="29"/>
      <c r="L140" s="38" t="s">
        <v>1534</v>
      </c>
      <c r="M140" s="29">
        <v>139</v>
      </c>
    </row>
    <row r="141" spans="1:13">
      <c r="A141" s="29">
        <v>140</v>
      </c>
      <c r="B141" s="38" t="s">
        <v>464</v>
      </c>
      <c r="C141" s="29" t="s">
        <v>855</v>
      </c>
      <c r="D141" s="29" t="s">
        <v>856</v>
      </c>
      <c r="E141" s="29">
        <v>0</v>
      </c>
      <c r="F141" s="29" t="s">
        <v>1515</v>
      </c>
      <c r="G141" s="29" t="s">
        <v>857</v>
      </c>
      <c r="H141" s="29">
        <v>2024</v>
      </c>
      <c r="I141" s="29" t="s">
        <v>1531</v>
      </c>
      <c r="J141" s="29"/>
      <c r="K141" s="29"/>
      <c r="L141" s="38" t="s">
        <v>1534</v>
      </c>
      <c r="M141" s="29">
        <v>140</v>
      </c>
    </row>
    <row r="142" spans="1:13">
      <c r="A142" s="29">
        <v>141</v>
      </c>
      <c r="B142" s="38" t="s">
        <v>464</v>
      </c>
      <c r="C142" s="29" t="s">
        <v>858</v>
      </c>
      <c r="D142" s="29" t="s">
        <v>1574</v>
      </c>
      <c r="E142" s="29">
        <v>0</v>
      </c>
      <c r="F142" s="29" t="s">
        <v>1515</v>
      </c>
      <c r="G142" s="29" t="s">
        <v>859</v>
      </c>
      <c r="H142" s="29">
        <v>2024</v>
      </c>
      <c r="I142" s="29" t="s">
        <v>1531</v>
      </c>
      <c r="J142" s="29"/>
      <c r="K142" s="29"/>
      <c r="L142" s="38" t="s">
        <v>1534</v>
      </c>
      <c r="M142" s="29">
        <v>141</v>
      </c>
    </row>
    <row r="143" spans="1:13">
      <c r="A143" s="29">
        <v>142</v>
      </c>
      <c r="B143" s="38" t="s">
        <v>464</v>
      </c>
      <c r="C143" s="29" t="s">
        <v>860</v>
      </c>
      <c r="D143" s="29" t="s">
        <v>861</v>
      </c>
      <c r="E143" s="29">
        <v>0</v>
      </c>
      <c r="F143" s="29" t="s">
        <v>1515</v>
      </c>
      <c r="G143" s="29" t="s">
        <v>862</v>
      </c>
      <c r="H143" s="29">
        <v>2024</v>
      </c>
      <c r="I143" s="29" t="s">
        <v>1531</v>
      </c>
      <c r="J143" s="29"/>
      <c r="K143" s="29"/>
      <c r="L143" s="38" t="s">
        <v>1534</v>
      </c>
      <c r="M143" s="29">
        <v>142</v>
      </c>
    </row>
    <row r="144" spans="1:13">
      <c r="A144" s="29">
        <v>143</v>
      </c>
      <c r="B144" s="38" t="s">
        <v>464</v>
      </c>
      <c r="C144" s="29" t="s">
        <v>863</v>
      </c>
      <c r="D144" s="29" t="s">
        <v>864</v>
      </c>
      <c r="E144" s="29">
        <v>0</v>
      </c>
      <c r="F144" s="29" t="s">
        <v>1515</v>
      </c>
      <c r="G144" s="29" t="s">
        <v>849</v>
      </c>
      <c r="H144" s="29">
        <v>2024</v>
      </c>
      <c r="I144" s="29" t="s">
        <v>1531</v>
      </c>
      <c r="J144" s="29"/>
      <c r="K144" s="29"/>
      <c r="L144" s="38" t="s">
        <v>1534</v>
      </c>
      <c r="M144" s="29">
        <v>143</v>
      </c>
    </row>
    <row r="145" spans="1:13">
      <c r="A145" s="29">
        <v>144</v>
      </c>
      <c r="B145" s="38" t="s">
        <v>464</v>
      </c>
      <c r="C145" s="29" t="s">
        <v>865</v>
      </c>
      <c r="D145" s="29" t="s">
        <v>1575</v>
      </c>
      <c r="E145" s="29">
        <v>0</v>
      </c>
      <c r="F145" s="29" t="s">
        <v>1515</v>
      </c>
      <c r="G145" s="29" t="s">
        <v>866</v>
      </c>
      <c r="H145" s="29">
        <v>2024</v>
      </c>
      <c r="I145" s="29" t="s">
        <v>1536</v>
      </c>
      <c r="J145" s="29" t="s">
        <v>1531</v>
      </c>
      <c r="K145" s="29"/>
      <c r="L145" s="38" t="s">
        <v>1576</v>
      </c>
      <c r="M145" s="29">
        <v>144</v>
      </c>
    </row>
    <row r="146" spans="1:13">
      <c r="A146" s="29">
        <v>145</v>
      </c>
      <c r="B146" s="38" t="s">
        <v>467</v>
      </c>
      <c r="C146" s="29" t="s">
        <v>867</v>
      </c>
      <c r="D146" s="29" t="s">
        <v>868</v>
      </c>
      <c r="E146" s="29">
        <v>0</v>
      </c>
      <c r="F146" s="29" t="s">
        <v>1515</v>
      </c>
      <c r="G146" s="29" t="s">
        <v>869</v>
      </c>
      <c r="H146" s="29">
        <v>2024</v>
      </c>
      <c r="I146" s="29" t="s">
        <v>1531</v>
      </c>
      <c r="J146" s="29"/>
      <c r="K146" s="29"/>
      <c r="L146" s="38" t="s">
        <v>1534</v>
      </c>
      <c r="M146" s="29">
        <v>145</v>
      </c>
    </row>
    <row r="147" spans="1:13">
      <c r="A147" s="29">
        <v>146</v>
      </c>
      <c r="B147" s="38" t="s">
        <v>464</v>
      </c>
      <c r="C147" s="29" t="s">
        <v>870</v>
      </c>
      <c r="D147" s="29" t="s">
        <v>871</v>
      </c>
      <c r="E147" s="29">
        <v>0</v>
      </c>
      <c r="F147" s="29" t="s">
        <v>1515</v>
      </c>
      <c r="G147" s="29" t="s">
        <v>872</v>
      </c>
      <c r="H147" s="29">
        <v>2024</v>
      </c>
      <c r="I147" s="29" t="s">
        <v>1531</v>
      </c>
      <c r="J147" s="29"/>
      <c r="K147" s="29"/>
      <c r="L147" s="38" t="s">
        <v>1534</v>
      </c>
      <c r="M147" s="29">
        <v>146</v>
      </c>
    </row>
    <row r="148" spans="1:13">
      <c r="A148" s="29">
        <v>147</v>
      </c>
      <c r="B148" s="38" t="s">
        <v>464</v>
      </c>
      <c r="C148" s="29" t="s">
        <v>873</v>
      </c>
      <c r="D148" s="29" t="s">
        <v>874</v>
      </c>
      <c r="E148" s="29">
        <v>0</v>
      </c>
      <c r="F148" s="29" t="s">
        <v>1515</v>
      </c>
      <c r="G148" s="29" t="s">
        <v>875</v>
      </c>
      <c r="H148" s="29">
        <v>2024</v>
      </c>
      <c r="I148" s="29" t="s">
        <v>1531</v>
      </c>
      <c r="J148" s="29"/>
      <c r="K148" s="29"/>
      <c r="L148" s="38" t="s">
        <v>1534</v>
      </c>
      <c r="M148" s="29">
        <v>147</v>
      </c>
    </row>
    <row r="149" spans="1:13">
      <c r="A149" s="29">
        <v>148</v>
      </c>
      <c r="B149" s="38" t="s">
        <v>464</v>
      </c>
      <c r="C149" s="29" t="s">
        <v>876</v>
      </c>
      <c r="D149" s="29" t="s">
        <v>877</v>
      </c>
      <c r="E149" s="29">
        <v>1</v>
      </c>
      <c r="F149" s="29" t="s">
        <v>1515</v>
      </c>
      <c r="G149" s="29" t="s">
        <v>878</v>
      </c>
      <c r="H149" s="29">
        <v>2024</v>
      </c>
      <c r="I149" s="29" t="s">
        <v>1536</v>
      </c>
      <c r="J149" s="29" t="s">
        <v>1536</v>
      </c>
      <c r="K149" s="29" t="s">
        <v>1536</v>
      </c>
      <c r="L149" s="38"/>
      <c r="M149" s="29">
        <v>148</v>
      </c>
    </row>
    <row r="150" spans="1:13">
      <c r="A150" s="29">
        <v>149</v>
      </c>
      <c r="B150" s="38" t="s">
        <v>464</v>
      </c>
      <c r="C150" s="29" t="s">
        <v>879</v>
      </c>
      <c r="D150" s="29" t="s">
        <v>880</v>
      </c>
      <c r="E150" s="29">
        <v>0</v>
      </c>
      <c r="F150" s="29" t="s">
        <v>1515</v>
      </c>
      <c r="G150" s="29" t="s">
        <v>881</v>
      </c>
      <c r="H150" s="29">
        <v>2024</v>
      </c>
      <c r="I150" s="29" t="s">
        <v>1531</v>
      </c>
      <c r="J150" s="29"/>
      <c r="K150" s="29"/>
      <c r="L150" s="38" t="s">
        <v>1534</v>
      </c>
      <c r="M150" s="29">
        <v>149</v>
      </c>
    </row>
    <row r="151" spans="1:13">
      <c r="A151" s="29">
        <v>150</v>
      </c>
      <c r="B151" s="38" t="s">
        <v>467</v>
      </c>
      <c r="C151" s="29" t="s">
        <v>882</v>
      </c>
      <c r="D151" s="29" t="s">
        <v>883</v>
      </c>
      <c r="E151" s="29">
        <v>0</v>
      </c>
      <c r="F151" s="29" t="s">
        <v>1515</v>
      </c>
      <c r="G151" s="29" t="s">
        <v>884</v>
      </c>
      <c r="H151" s="29">
        <v>2024</v>
      </c>
      <c r="I151" s="29" t="s">
        <v>1531</v>
      </c>
      <c r="J151" s="29"/>
      <c r="K151" s="29"/>
      <c r="L151" s="38" t="s">
        <v>1534</v>
      </c>
      <c r="M151" s="29">
        <v>150</v>
      </c>
    </row>
    <row r="152" spans="1:13">
      <c r="A152" s="29">
        <v>151</v>
      </c>
      <c r="B152" s="38" t="s">
        <v>467</v>
      </c>
      <c r="C152" s="29" t="s">
        <v>882</v>
      </c>
      <c r="D152" s="29" t="s">
        <v>885</v>
      </c>
      <c r="E152" s="29">
        <v>0</v>
      </c>
      <c r="F152" s="29" t="s">
        <v>1516</v>
      </c>
      <c r="G152" s="29" t="s">
        <v>884</v>
      </c>
      <c r="H152" s="29">
        <v>2024</v>
      </c>
      <c r="I152" s="29" t="s">
        <v>1531</v>
      </c>
      <c r="J152" s="29"/>
      <c r="K152" s="29"/>
      <c r="L152" s="38" t="s">
        <v>1532</v>
      </c>
      <c r="M152" s="29">
        <v>151</v>
      </c>
    </row>
    <row r="153" spans="1:13">
      <c r="A153" s="29">
        <v>152</v>
      </c>
      <c r="B153" s="38" t="s">
        <v>467</v>
      </c>
      <c r="C153" s="29" t="s">
        <v>882</v>
      </c>
      <c r="D153" s="29" t="s">
        <v>886</v>
      </c>
      <c r="E153" s="29">
        <v>0</v>
      </c>
      <c r="F153" s="29" t="s">
        <v>1515</v>
      </c>
      <c r="G153" s="29" t="s">
        <v>884</v>
      </c>
      <c r="H153" s="29">
        <v>2024</v>
      </c>
      <c r="I153" s="29" t="s">
        <v>1531</v>
      </c>
      <c r="J153" s="29"/>
      <c r="K153" s="29"/>
      <c r="L153" s="38" t="s">
        <v>1534</v>
      </c>
      <c r="M153" s="29">
        <v>152</v>
      </c>
    </row>
    <row r="154" spans="1:13">
      <c r="A154" s="29">
        <v>153</v>
      </c>
      <c r="B154" s="38" t="s">
        <v>464</v>
      </c>
      <c r="C154" s="29" t="s">
        <v>887</v>
      </c>
      <c r="D154" s="29" t="s">
        <v>1577</v>
      </c>
      <c r="E154" s="29">
        <v>0</v>
      </c>
      <c r="F154" s="29" t="s">
        <v>1515</v>
      </c>
      <c r="G154" s="29" t="s">
        <v>888</v>
      </c>
      <c r="H154" s="29">
        <v>2024</v>
      </c>
      <c r="I154" s="29" t="s">
        <v>1536</v>
      </c>
      <c r="J154" s="29" t="s">
        <v>1531</v>
      </c>
      <c r="K154" s="29"/>
      <c r="L154" s="38" t="s">
        <v>1578</v>
      </c>
      <c r="M154" s="29">
        <v>153</v>
      </c>
    </row>
    <row r="155" spans="1:13">
      <c r="A155" s="29">
        <v>154</v>
      </c>
      <c r="B155" s="38" t="s">
        <v>464</v>
      </c>
      <c r="C155" s="29" t="s">
        <v>889</v>
      </c>
      <c r="D155" s="29" t="s">
        <v>890</v>
      </c>
      <c r="E155" s="29">
        <v>0</v>
      </c>
      <c r="F155" s="29" t="s">
        <v>1515</v>
      </c>
      <c r="G155" s="29" t="s">
        <v>891</v>
      </c>
      <c r="H155" s="29">
        <v>2024</v>
      </c>
      <c r="I155" s="29" t="s">
        <v>1536</v>
      </c>
      <c r="J155" s="29" t="s">
        <v>1531</v>
      </c>
      <c r="K155" s="29"/>
      <c r="L155" s="38" t="s">
        <v>1544</v>
      </c>
      <c r="M155" s="29">
        <v>154</v>
      </c>
    </row>
    <row r="156" spans="1:13">
      <c r="A156" s="29">
        <v>155</v>
      </c>
      <c r="B156" s="38" t="s">
        <v>464</v>
      </c>
      <c r="C156" s="29" t="s">
        <v>892</v>
      </c>
      <c r="D156" s="29" t="s">
        <v>893</v>
      </c>
      <c r="E156" s="29">
        <v>0</v>
      </c>
      <c r="F156" s="29" t="s">
        <v>1515</v>
      </c>
      <c r="G156" s="29" t="s">
        <v>894</v>
      </c>
      <c r="H156" s="29">
        <v>2024</v>
      </c>
      <c r="I156" s="29" t="s">
        <v>1531</v>
      </c>
      <c r="J156" s="29"/>
      <c r="K156" s="29"/>
      <c r="L156" s="38" t="s">
        <v>1534</v>
      </c>
      <c r="M156" s="29">
        <v>155</v>
      </c>
    </row>
    <row r="157" spans="1:13">
      <c r="A157" s="29">
        <v>156</v>
      </c>
      <c r="B157" s="38" t="s">
        <v>467</v>
      </c>
      <c r="C157" s="29" t="s">
        <v>895</v>
      </c>
      <c r="D157" s="29" t="s">
        <v>896</v>
      </c>
      <c r="E157" s="29">
        <v>0</v>
      </c>
      <c r="F157" s="29" t="s">
        <v>1515</v>
      </c>
      <c r="G157" s="29" t="s">
        <v>646</v>
      </c>
      <c r="H157" s="29">
        <v>2024</v>
      </c>
      <c r="I157" s="29" t="s">
        <v>1531</v>
      </c>
      <c r="J157" s="29"/>
      <c r="K157" s="29"/>
      <c r="L157" s="38" t="s">
        <v>1534</v>
      </c>
      <c r="M157" s="29">
        <v>156</v>
      </c>
    </row>
    <row r="158" spans="1:13">
      <c r="A158" s="29">
        <v>157</v>
      </c>
      <c r="B158" s="38" t="s">
        <v>464</v>
      </c>
      <c r="C158" s="29" t="s">
        <v>897</v>
      </c>
      <c r="D158" s="29" t="s">
        <v>1579</v>
      </c>
      <c r="E158" s="29">
        <v>0</v>
      </c>
      <c r="F158" s="29" t="s">
        <v>1515</v>
      </c>
      <c r="G158" s="29" t="s">
        <v>898</v>
      </c>
      <c r="H158" s="29">
        <v>2024</v>
      </c>
      <c r="I158" s="29" t="s">
        <v>1536</v>
      </c>
      <c r="J158" s="29" t="s">
        <v>1531</v>
      </c>
      <c r="K158" s="29"/>
      <c r="L158" s="38" t="s">
        <v>1580</v>
      </c>
      <c r="M158" s="29">
        <v>157</v>
      </c>
    </row>
    <row r="159" spans="1:13">
      <c r="A159" s="29">
        <v>158</v>
      </c>
      <c r="B159" s="38" t="s">
        <v>467</v>
      </c>
      <c r="C159" s="29" t="s">
        <v>899</v>
      </c>
      <c r="D159" s="29" t="s">
        <v>900</v>
      </c>
      <c r="E159" s="29">
        <v>0</v>
      </c>
      <c r="F159" s="29" t="s">
        <v>1515</v>
      </c>
      <c r="G159" s="29" t="s">
        <v>901</v>
      </c>
      <c r="H159" s="29">
        <v>2024</v>
      </c>
      <c r="I159" s="29" t="s">
        <v>1531</v>
      </c>
      <c r="J159" s="29"/>
      <c r="K159" s="29"/>
      <c r="L159" s="38" t="s">
        <v>1534</v>
      </c>
      <c r="M159" s="29">
        <v>158</v>
      </c>
    </row>
    <row r="160" spans="1:13">
      <c r="A160" s="29">
        <v>159</v>
      </c>
      <c r="B160" s="38" t="s">
        <v>464</v>
      </c>
      <c r="C160" s="29" t="s">
        <v>902</v>
      </c>
      <c r="D160" s="29" t="s">
        <v>1581</v>
      </c>
      <c r="E160" s="29">
        <v>0</v>
      </c>
      <c r="F160" s="29" t="s">
        <v>1515</v>
      </c>
      <c r="G160" s="29" t="s">
        <v>814</v>
      </c>
      <c r="H160" s="29">
        <v>2024</v>
      </c>
      <c r="I160" s="29" t="s">
        <v>1531</v>
      </c>
      <c r="J160" s="29"/>
      <c r="K160" s="29"/>
      <c r="L160" s="38" t="s">
        <v>1534</v>
      </c>
      <c r="M160" s="29">
        <v>159</v>
      </c>
    </row>
    <row r="161" spans="1:13">
      <c r="A161" s="29">
        <v>160</v>
      </c>
      <c r="B161" s="38" t="s">
        <v>464</v>
      </c>
      <c r="C161" s="29" t="s">
        <v>903</v>
      </c>
      <c r="D161" s="29" t="s">
        <v>904</v>
      </c>
      <c r="E161" s="29">
        <v>0</v>
      </c>
      <c r="F161" s="29" t="s">
        <v>1515</v>
      </c>
      <c r="G161" s="29" t="s">
        <v>905</v>
      </c>
      <c r="H161" s="29">
        <v>2024</v>
      </c>
      <c r="I161" s="29" t="s">
        <v>1531</v>
      </c>
      <c r="J161" s="29"/>
      <c r="K161" s="29"/>
      <c r="L161" s="38" t="s">
        <v>1534</v>
      </c>
      <c r="M161" s="29">
        <v>160</v>
      </c>
    </row>
    <row r="162" spans="1:13">
      <c r="A162" s="29">
        <v>161</v>
      </c>
      <c r="B162" s="38" t="s">
        <v>464</v>
      </c>
      <c r="C162" s="29" t="s">
        <v>906</v>
      </c>
      <c r="D162" s="29" t="s">
        <v>907</v>
      </c>
      <c r="E162" s="29">
        <v>0</v>
      </c>
      <c r="F162" s="29" t="s">
        <v>1515</v>
      </c>
      <c r="G162" s="29" t="s">
        <v>908</v>
      </c>
      <c r="H162" s="29">
        <v>2024</v>
      </c>
      <c r="I162" s="29" t="s">
        <v>1531</v>
      </c>
      <c r="J162" s="29"/>
      <c r="K162" s="29"/>
      <c r="L162" s="38" t="s">
        <v>1534</v>
      </c>
      <c r="M162" s="29">
        <v>161</v>
      </c>
    </row>
    <row r="163" spans="1:13">
      <c r="A163" s="29">
        <v>162</v>
      </c>
      <c r="B163" s="38" t="s">
        <v>464</v>
      </c>
      <c r="C163" s="29" t="s">
        <v>909</v>
      </c>
      <c r="D163" s="29" t="s">
        <v>910</v>
      </c>
      <c r="E163" s="29">
        <v>0</v>
      </c>
      <c r="F163" s="29" t="s">
        <v>1515</v>
      </c>
      <c r="G163" s="29" t="s">
        <v>911</v>
      </c>
      <c r="H163" s="29">
        <v>2024</v>
      </c>
      <c r="I163" s="29" t="s">
        <v>1531</v>
      </c>
      <c r="J163" s="29"/>
      <c r="K163" s="29"/>
      <c r="L163" s="38" t="s">
        <v>1534</v>
      </c>
      <c r="M163" s="29">
        <v>162</v>
      </c>
    </row>
    <row r="164" spans="1:13">
      <c r="A164" s="29">
        <v>163</v>
      </c>
      <c r="B164" s="38" t="s">
        <v>464</v>
      </c>
      <c r="C164" s="29" t="s">
        <v>912</v>
      </c>
      <c r="D164" s="29" t="s">
        <v>913</v>
      </c>
      <c r="E164" s="29">
        <v>0</v>
      </c>
      <c r="F164" s="29" t="s">
        <v>1515</v>
      </c>
      <c r="G164" s="29" t="s">
        <v>914</v>
      </c>
      <c r="H164" s="29">
        <v>2024</v>
      </c>
      <c r="I164" s="29" t="s">
        <v>1531</v>
      </c>
      <c r="J164" s="29"/>
      <c r="K164" s="29"/>
      <c r="L164" s="38" t="s">
        <v>1534</v>
      </c>
      <c r="M164" s="29">
        <v>163</v>
      </c>
    </row>
    <row r="165" spans="1:13">
      <c r="A165" s="29">
        <v>164</v>
      </c>
      <c r="B165" s="38" t="s">
        <v>464</v>
      </c>
      <c r="C165" s="29" t="s">
        <v>915</v>
      </c>
      <c r="D165" s="29" t="s">
        <v>916</v>
      </c>
      <c r="E165" s="29">
        <v>0</v>
      </c>
      <c r="F165" s="29" t="s">
        <v>1515</v>
      </c>
      <c r="G165" s="29" t="s">
        <v>872</v>
      </c>
      <c r="H165" s="29">
        <v>2024</v>
      </c>
      <c r="I165" s="29" t="s">
        <v>1531</v>
      </c>
      <c r="J165" s="29"/>
      <c r="K165" s="29"/>
      <c r="L165" s="38" t="s">
        <v>1534</v>
      </c>
      <c r="M165" s="29">
        <v>164</v>
      </c>
    </row>
    <row r="166" spans="1:13">
      <c r="A166" s="29">
        <v>165</v>
      </c>
      <c r="B166" s="38" t="s">
        <v>464</v>
      </c>
      <c r="C166" s="29" t="s">
        <v>917</v>
      </c>
      <c r="D166" s="29" t="s">
        <v>918</v>
      </c>
      <c r="E166" s="29">
        <v>0</v>
      </c>
      <c r="F166" s="29" t="s">
        <v>1515</v>
      </c>
      <c r="G166" s="29" t="s">
        <v>919</v>
      </c>
      <c r="H166" s="29">
        <v>2024</v>
      </c>
      <c r="I166" s="29" t="s">
        <v>1531</v>
      </c>
      <c r="J166" s="29"/>
      <c r="K166" s="29"/>
      <c r="L166" s="38" t="s">
        <v>1534</v>
      </c>
      <c r="M166" s="29">
        <v>165</v>
      </c>
    </row>
    <row r="167" spans="1:13">
      <c r="A167" s="29">
        <v>166</v>
      </c>
      <c r="B167" s="38" t="s">
        <v>464</v>
      </c>
      <c r="C167" s="29" t="s">
        <v>920</v>
      </c>
      <c r="D167" s="29" t="s">
        <v>921</v>
      </c>
      <c r="E167" s="29">
        <v>0</v>
      </c>
      <c r="F167" s="29" t="s">
        <v>1515</v>
      </c>
      <c r="G167" s="29" t="s">
        <v>922</v>
      </c>
      <c r="H167" s="29">
        <v>2024</v>
      </c>
      <c r="I167" s="29" t="s">
        <v>1531</v>
      </c>
      <c r="J167" s="29"/>
      <c r="K167" s="29"/>
      <c r="L167" s="38" t="s">
        <v>1534</v>
      </c>
      <c r="M167" s="29">
        <v>166</v>
      </c>
    </row>
    <row r="168" spans="1:13">
      <c r="A168" s="29">
        <v>167</v>
      </c>
      <c r="B168" s="38" t="s">
        <v>467</v>
      </c>
      <c r="C168" s="29" t="s">
        <v>923</v>
      </c>
      <c r="D168" s="29" t="s">
        <v>924</v>
      </c>
      <c r="E168" s="29">
        <v>0</v>
      </c>
      <c r="F168" s="29" t="s">
        <v>1515</v>
      </c>
      <c r="G168" s="29" t="s">
        <v>811</v>
      </c>
      <c r="H168" s="29">
        <v>2024</v>
      </c>
      <c r="I168" s="29" t="s">
        <v>1531</v>
      </c>
      <c r="J168" s="29"/>
      <c r="K168" s="29"/>
      <c r="L168" s="38" t="s">
        <v>1534</v>
      </c>
      <c r="M168" s="29">
        <v>167</v>
      </c>
    </row>
    <row r="169" spans="1:13">
      <c r="A169" s="29">
        <v>168</v>
      </c>
      <c r="B169" s="38" t="s">
        <v>467</v>
      </c>
      <c r="C169" s="29" t="s">
        <v>925</v>
      </c>
      <c r="D169" s="29" t="s">
        <v>1582</v>
      </c>
      <c r="E169" s="29">
        <v>0</v>
      </c>
      <c r="F169" s="29" t="s">
        <v>1515</v>
      </c>
      <c r="G169" s="29" t="s">
        <v>843</v>
      </c>
      <c r="H169" s="29">
        <v>2024</v>
      </c>
      <c r="I169" s="29" t="s">
        <v>1536</v>
      </c>
      <c r="J169" s="29" t="s">
        <v>1531</v>
      </c>
      <c r="K169" s="29"/>
      <c r="L169" s="38" t="s">
        <v>1583</v>
      </c>
      <c r="M169" s="29">
        <v>168</v>
      </c>
    </row>
    <row r="170" spans="1:13">
      <c r="A170" s="29">
        <v>169</v>
      </c>
      <c r="B170" s="38" t="s">
        <v>464</v>
      </c>
      <c r="C170" s="29" t="s">
        <v>926</v>
      </c>
      <c r="D170" s="29" t="s">
        <v>927</v>
      </c>
      <c r="E170" s="29">
        <v>0</v>
      </c>
      <c r="F170" s="29" t="s">
        <v>1515</v>
      </c>
      <c r="G170" s="29" t="s">
        <v>928</v>
      </c>
      <c r="H170" s="29">
        <v>2024</v>
      </c>
      <c r="I170" s="29" t="s">
        <v>1531</v>
      </c>
      <c r="J170" s="29"/>
      <c r="K170" s="29"/>
      <c r="L170" s="38" t="s">
        <v>1534</v>
      </c>
      <c r="M170" s="29">
        <v>169</v>
      </c>
    </row>
    <row r="171" spans="1:13">
      <c r="A171" s="29">
        <v>170</v>
      </c>
      <c r="B171" s="38" t="s">
        <v>464</v>
      </c>
      <c r="C171" s="29" t="s">
        <v>929</v>
      </c>
      <c r="D171" s="29" t="s">
        <v>930</v>
      </c>
      <c r="E171" s="29">
        <v>0</v>
      </c>
      <c r="F171" s="29" t="s">
        <v>1515</v>
      </c>
      <c r="G171" s="29" t="s">
        <v>931</v>
      </c>
      <c r="H171" s="29">
        <v>2024</v>
      </c>
      <c r="I171" s="29" t="s">
        <v>1531</v>
      </c>
      <c r="J171" s="29"/>
      <c r="K171" s="29"/>
      <c r="L171" s="38" t="s">
        <v>1534</v>
      </c>
      <c r="M171" s="29">
        <v>170</v>
      </c>
    </row>
    <row r="172" spans="1:13">
      <c r="A172" s="29">
        <v>171</v>
      </c>
      <c r="B172" s="38" t="s">
        <v>467</v>
      </c>
      <c r="C172" s="29" t="s">
        <v>932</v>
      </c>
      <c r="D172" s="29" t="s">
        <v>933</v>
      </c>
      <c r="E172" s="29">
        <v>0</v>
      </c>
      <c r="F172" s="29" t="s">
        <v>1515</v>
      </c>
      <c r="G172" s="29" t="s">
        <v>934</v>
      </c>
      <c r="H172" s="29">
        <v>2024</v>
      </c>
      <c r="I172" s="29" t="s">
        <v>1531</v>
      </c>
      <c r="J172" s="29"/>
      <c r="K172" s="29"/>
      <c r="L172" s="38" t="s">
        <v>1534</v>
      </c>
      <c r="M172" s="29">
        <v>171</v>
      </c>
    </row>
    <row r="173" spans="1:13">
      <c r="A173" s="29">
        <v>172</v>
      </c>
      <c r="B173" s="38" t="s">
        <v>464</v>
      </c>
      <c r="C173" s="29" t="s">
        <v>935</v>
      </c>
      <c r="D173" s="29" t="s">
        <v>936</v>
      </c>
      <c r="E173" s="29">
        <v>0</v>
      </c>
      <c r="F173" s="29" t="s">
        <v>1515</v>
      </c>
      <c r="G173" s="29" t="s">
        <v>937</v>
      </c>
      <c r="H173" s="29">
        <v>2024</v>
      </c>
      <c r="I173" s="29" t="s">
        <v>1531</v>
      </c>
      <c r="J173" s="29"/>
      <c r="K173" s="29"/>
      <c r="L173" s="38" t="s">
        <v>1534</v>
      </c>
      <c r="M173" s="29">
        <v>172</v>
      </c>
    </row>
    <row r="174" spans="1:13">
      <c r="A174" s="29">
        <v>173</v>
      </c>
      <c r="B174" s="38" t="s">
        <v>464</v>
      </c>
      <c r="C174" s="29" t="s">
        <v>938</v>
      </c>
      <c r="D174" s="29" t="s">
        <v>939</v>
      </c>
      <c r="E174" s="29">
        <v>0</v>
      </c>
      <c r="F174" s="29" t="s">
        <v>1515</v>
      </c>
      <c r="G174" s="29" t="s">
        <v>940</v>
      </c>
      <c r="H174" s="29">
        <v>2024</v>
      </c>
      <c r="I174" s="29" t="s">
        <v>1531</v>
      </c>
      <c r="J174" s="29"/>
      <c r="K174" s="29"/>
      <c r="L174" s="38" t="s">
        <v>1534</v>
      </c>
      <c r="M174" s="29">
        <v>173</v>
      </c>
    </row>
    <row r="175" spans="1:13">
      <c r="A175" s="29">
        <v>174</v>
      </c>
      <c r="B175" s="38" t="s">
        <v>467</v>
      </c>
      <c r="C175" s="29" t="s">
        <v>941</v>
      </c>
      <c r="D175" s="29" t="s">
        <v>942</v>
      </c>
      <c r="E175" s="29">
        <v>0</v>
      </c>
      <c r="F175" s="29" t="s">
        <v>1515</v>
      </c>
      <c r="G175" s="29" t="s">
        <v>943</v>
      </c>
      <c r="H175" s="29">
        <v>2024</v>
      </c>
      <c r="I175" s="29" t="s">
        <v>1531</v>
      </c>
      <c r="J175" s="29"/>
      <c r="K175" s="29"/>
      <c r="L175" s="38" t="s">
        <v>1534</v>
      </c>
      <c r="M175" s="29">
        <v>174</v>
      </c>
    </row>
    <row r="176" spans="1:13">
      <c r="A176" s="29">
        <v>175</v>
      </c>
      <c r="B176" s="38" t="s">
        <v>467</v>
      </c>
      <c r="C176" s="29" t="s">
        <v>944</v>
      </c>
      <c r="D176" s="29" t="s">
        <v>945</v>
      </c>
      <c r="E176" s="29">
        <v>0</v>
      </c>
      <c r="F176" s="29" t="s">
        <v>1515</v>
      </c>
      <c r="G176" s="29" t="s">
        <v>946</v>
      </c>
      <c r="H176" s="29">
        <v>2024</v>
      </c>
      <c r="I176" s="29" t="s">
        <v>1531</v>
      </c>
      <c r="J176" s="29"/>
      <c r="K176" s="29"/>
      <c r="L176" s="38" t="s">
        <v>1534</v>
      </c>
      <c r="M176" s="29">
        <v>175</v>
      </c>
    </row>
    <row r="177" spans="1:13">
      <c r="A177" s="29">
        <v>176</v>
      </c>
      <c r="B177" s="38" t="s">
        <v>464</v>
      </c>
      <c r="C177" s="29" t="s">
        <v>947</v>
      </c>
      <c r="D177" s="29" t="s">
        <v>948</v>
      </c>
      <c r="E177" s="29">
        <v>1</v>
      </c>
      <c r="F177" s="29" t="s">
        <v>1515</v>
      </c>
      <c r="G177" s="29" t="s">
        <v>949</v>
      </c>
      <c r="H177" s="29">
        <v>2024</v>
      </c>
      <c r="I177" s="29" t="s">
        <v>1536</v>
      </c>
      <c r="J177" s="29" t="s">
        <v>1536</v>
      </c>
      <c r="K177" s="29" t="s">
        <v>1536</v>
      </c>
      <c r="L177" s="38"/>
      <c r="M177" s="29">
        <v>176</v>
      </c>
    </row>
    <row r="178" spans="1:13">
      <c r="A178" s="29">
        <v>177</v>
      </c>
      <c r="B178" s="38" t="s">
        <v>467</v>
      </c>
      <c r="C178" s="29" t="s">
        <v>950</v>
      </c>
      <c r="D178" s="29" t="s">
        <v>951</v>
      </c>
      <c r="E178" s="29">
        <v>0</v>
      </c>
      <c r="F178" s="29" t="s">
        <v>1515</v>
      </c>
      <c r="G178" s="29" t="s">
        <v>952</v>
      </c>
      <c r="H178" s="29">
        <v>2024</v>
      </c>
      <c r="I178" s="29" t="s">
        <v>1531</v>
      </c>
      <c r="J178" s="29"/>
      <c r="K178" s="29"/>
      <c r="L178" s="38" t="s">
        <v>1534</v>
      </c>
      <c r="M178" s="29">
        <v>177</v>
      </c>
    </row>
    <row r="179" spans="1:13">
      <c r="A179" s="29">
        <v>178</v>
      </c>
      <c r="B179" s="38" t="s">
        <v>467</v>
      </c>
      <c r="C179" s="29" t="s">
        <v>953</v>
      </c>
      <c r="D179" s="29" t="s">
        <v>954</v>
      </c>
      <c r="E179" s="29">
        <v>0</v>
      </c>
      <c r="F179" s="29" t="s">
        <v>1515</v>
      </c>
      <c r="G179" s="29" t="s">
        <v>955</v>
      </c>
      <c r="H179" s="29">
        <v>2024</v>
      </c>
      <c r="I179" s="29" t="s">
        <v>1531</v>
      </c>
      <c r="J179" s="29"/>
      <c r="K179" s="29"/>
      <c r="L179" s="38" t="s">
        <v>1534</v>
      </c>
      <c r="M179" s="29">
        <v>178</v>
      </c>
    </row>
    <row r="180" spans="1:13">
      <c r="A180" s="29">
        <v>179</v>
      </c>
      <c r="B180" s="38" t="s">
        <v>464</v>
      </c>
      <c r="C180" s="29" t="s">
        <v>956</v>
      </c>
      <c r="D180" s="29" t="s">
        <v>957</v>
      </c>
      <c r="E180" s="29">
        <v>0</v>
      </c>
      <c r="F180" s="29" t="s">
        <v>1515</v>
      </c>
      <c r="G180" s="29" t="s">
        <v>958</v>
      </c>
      <c r="H180" s="29">
        <v>2024</v>
      </c>
      <c r="I180" s="29" t="s">
        <v>1531</v>
      </c>
      <c r="J180" s="29"/>
      <c r="K180" s="29"/>
      <c r="L180" s="38" t="s">
        <v>1534</v>
      </c>
      <c r="M180" s="29">
        <v>179</v>
      </c>
    </row>
    <row r="181" spans="1:13">
      <c r="A181" s="29">
        <v>180</v>
      </c>
      <c r="B181" s="38" t="s">
        <v>464</v>
      </c>
      <c r="C181" s="29" t="s">
        <v>959</v>
      </c>
      <c r="D181" s="29" t="s">
        <v>1584</v>
      </c>
      <c r="E181" s="29">
        <v>0</v>
      </c>
      <c r="F181" s="29" t="s">
        <v>1515</v>
      </c>
      <c r="G181" s="29" t="s">
        <v>960</v>
      </c>
      <c r="H181" s="29">
        <v>2024</v>
      </c>
      <c r="I181" s="29" t="s">
        <v>1531</v>
      </c>
      <c r="J181" s="29"/>
      <c r="K181" s="29"/>
      <c r="L181" s="38" t="s">
        <v>1534</v>
      </c>
      <c r="M181" s="29">
        <v>180</v>
      </c>
    </row>
    <row r="182" spans="1:13">
      <c r="A182" s="29">
        <v>181</v>
      </c>
      <c r="B182" s="38" t="s">
        <v>467</v>
      </c>
      <c r="C182" s="29" t="s">
        <v>923</v>
      </c>
      <c r="D182" s="29" t="s">
        <v>961</v>
      </c>
      <c r="E182" s="29">
        <v>0</v>
      </c>
      <c r="F182" s="29" t="s">
        <v>1515</v>
      </c>
      <c r="G182" s="29" t="s">
        <v>811</v>
      </c>
      <c r="H182" s="29">
        <v>2024</v>
      </c>
      <c r="I182" s="29" t="s">
        <v>1536</v>
      </c>
      <c r="J182" s="29" t="s">
        <v>1531</v>
      </c>
      <c r="K182" s="29"/>
      <c r="L182" s="38" t="s">
        <v>1585</v>
      </c>
      <c r="M182" s="29">
        <v>181</v>
      </c>
    </row>
    <row r="183" spans="1:13">
      <c r="A183" s="29">
        <v>182</v>
      </c>
      <c r="B183" s="38" t="s">
        <v>464</v>
      </c>
      <c r="C183" s="29" t="s">
        <v>962</v>
      </c>
      <c r="D183" s="29" t="s">
        <v>963</v>
      </c>
      <c r="E183" s="29">
        <v>0</v>
      </c>
      <c r="F183" s="29" t="s">
        <v>1515</v>
      </c>
      <c r="G183" s="29" t="s">
        <v>964</v>
      </c>
      <c r="H183" s="29">
        <v>2024</v>
      </c>
      <c r="I183" s="29" t="s">
        <v>1531</v>
      </c>
      <c r="J183" s="29"/>
      <c r="K183" s="29"/>
      <c r="L183" s="38" t="s">
        <v>1534</v>
      </c>
      <c r="M183" s="29">
        <v>182</v>
      </c>
    </row>
    <row r="184" spans="1:13">
      <c r="A184" s="29">
        <v>183</v>
      </c>
      <c r="B184" s="38" t="s">
        <v>467</v>
      </c>
      <c r="C184" s="29" t="s">
        <v>965</v>
      </c>
      <c r="D184" s="29" t="s">
        <v>966</v>
      </c>
      <c r="E184" s="29">
        <v>0</v>
      </c>
      <c r="F184" s="29" t="s">
        <v>1515</v>
      </c>
      <c r="G184" s="29" t="s">
        <v>967</v>
      </c>
      <c r="H184" s="29">
        <v>2024</v>
      </c>
      <c r="I184" s="29" t="s">
        <v>1536</v>
      </c>
      <c r="J184" s="29" t="s">
        <v>1531</v>
      </c>
      <c r="K184" s="29"/>
      <c r="L184" s="38" t="s">
        <v>1586</v>
      </c>
      <c r="M184" s="29">
        <v>183</v>
      </c>
    </row>
    <row r="185" spans="1:13">
      <c r="A185" s="29">
        <v>184</v>
      </c>
      <c r="B185" s="38" t="s">
        <v>467</v>
      </c>
      <c r="C185" s="29" t="s">
        <v>968</v>
      </c>
      <c r="D185" s="29" t="s">
        <v>969</v>
      </c>
      <c r="E185" s="29">
        <v>0</v>
      </c>
      <c r="F185" s="29" t="s">
        <v>1515</v>
      </c>
      <c r="G185" s="29" t="s">
        <v>970</v>
      </c>
      <c r="H185" s="29">
        <v>2024</v>
      </c>
      <c r="I185" s="29" t="s">
        <v>1531</v>
      </c>
      <c r="J185" s="29"/>
      <c r="K185" s="29"/>
      <c r="L185" s="38" t="s">
        <v>1534</v>
      </c>
      <c r="M185" s="29">
        <v>184</v>
      </c>
    </row>
    <row r="186" spans="1:13">
      <c r="A186" s="29">
        <v>185</v>
      </c>
      <c r="B186" s="38" t="s">
        <v>467</v>
      </c>
      <c r="C186" s="29" t="s">
        <v>971</v>
      </c>
      <c r="D186" s="29" t="s">
        <v>972</v>
      </c>
      <c r="E186" s="29">
        <v>0</v>
      </c>
      <c r="F186" s="29" t="s">
        <v>1515</v>
      </c>
      <c r="G186" s="29" t="s">
        <v>973</v>
      </c>
      <c r="H186" s="29">
        <v>2024</v>
      </c>
      <c r="I186" s="29" t="s">
        <v>1531</v>
      </c>
      <c r="J186" s="29"/>
      <c r="K186" s="29"/>
      <c r="L186" s="38" t="s">
        <v>1534</v>
      </c>
      <c r="M186" s="29">
        <v>185</v>
      </c>
    </row>
    <row r="187" spans="1:13" ht="26.4">
      <c r="A187" s="29">
        <v>186</v>
      </c>
      <c r="B187" s="38" t="s">
        <v>467</v>
      </c>
      <c r="C187" s="29" t="s">
        <v>974</v>
      </c>
      <c r="D187" s="29" t="s">
        <v>975</v>
      </c>
      <c r="E187" s="29">
        <v>0</v>
      </c>
      <c r="F187" s="29" t="s">
        <v>1515</v>
      </c>
      <c r="G187" s="29" t="s">
        <v>976</v>
      </c>
      <c r="H187" s="29">
        <v>2024</v>
      </c>
      <c r="I187" s="29" t="s">
        <v>1536</v>
      </c>
      <c r="J187" s="29" t="s">
        <v>1531</v>
      </c>
      <c r="K187" s="29"/>
      <c r="L187" s="38" t="s">
        <v>1587</v>
      </c>
      <c r="M187" s="29">
        <v>186</v>
      </c>
    </row>
    <row r="188" spans="1:13">
      <c r="A188" s="29">
        <v>187</v>
      </c>
      <c r="B188" s="38" t="s">
        <v>467</v>
      </c>
      <c r="C188" s="29" t="s">
        <v>977</v>
      </c>
      <c r="D188" s="29" t="s">
        <v>978</v>
      </c>
      <c r="E188" s="29">
        <v>0</v>
      </c>
      <c r="F188" s="29" t="s">
        <v>1515</v>
      </c>
      <c r="G188" s="29" t="s">
        <v>979</v>
      </c>
      <c r="H188" s="29">
        <v>2024</v>
      </c>
      <c r="I188" s="29" t="s">
        <v>1531</v>
      </c>
      <c r="J188" s="29"/>
      <c r="K188" s="29"/>
      <c r="L188" s="38" t="s">
        <v>1534</v>
      </c>
      <c r="M188" s="29">
        <v>187</v>
      </c>
    </row>
    <row r="189" spans="1:13">
      <c r="A189" s="29">
        <v>188</v>
      </c>
      <c r="B189" s="38" t="s">
        <v>467</v>
      </c>
      <c r="C189" s="29" t="s">
        <v>980</v>
      </c>
      <c r="D189" s="29" t="s">
        <v>981</v>
      </c>
      <c r="E189" s="29">
        <v>0</v>
      </c>
      <c r="F189" s="29" t="s">
        <v>1515</v>
      </c>
      <c r="G189" s="29" t="s">
        <v>982</v>
      </c>
      <c r="H189" s="29">
        <v>2024</v>
      </c>
      <c r="I189" s="29" t="s">
        <v>1531</v>
      </c>
      <c r="J189" s="29"/>
      <c r="K189" s="29"/>
      <c r="L189" s="38" t="s">
        <v>1534</v>
      </c>
      <c r="M189" s="29">
        <v>188</v>
      </c>
    </row>
    <row r="190" spans="1:13">
      <c r="A190" s="29">
        <v>189</v>
      </c>
      <c r="B190" s="38" t="s">
        <v>467</v>
      </c>
      <c r="C190" s="29" t="s">
        <v>983</v>
      </c>
      <c r="D190" s="29" t="s">
        <v>984</v>
      </c>
      <c r="E190" s="29">
        <v>0</v>
      </c>
      <c r="F190" s="29" t="s">
        <v>1515</v>
      </c>
      <c r="G190" s="29" t="s">
        <v>985</v>
      </c>
      <c r="H190" s="29">
        <v>2024</v>
      </c>
      <c r="I190" s="29" t="s">
        <v>1531</v>
      </c>
      <c r="J190" s="29"/>
      <c r="K190" s="29"/>
      <c r="L190" s="38" t="s">
        <v>1534</v>
      </c>
      <c r="M190" s="29">
        <v>189</v>
      </c>
    </row>
    <row r="191" spans="1:13">
      <c r="A191" s="29">
        <v>190</v>
      </c>
      <c r="B191" s="38" t="s">
        <v>467</v>
      </c>
      <c r="C191" s="29" t="s">
        <v>986</v>
      </c>
      <c r="D191" s="29" t="s">
        <v>987</v>
      </c>
      <c r="E191" s="29">
        <v>0</v>
      </c>
      <c r="F191" s="29" t="s">
        <v>1515</v>
      </c>
      <c r="G191" s="29" t="s">
        <v>988</v>
      </c>
      <c r="H191" s="29">
        <v>2024</v>
      </c>
      <c r="I191" s="29" t="s">
        <v>1531</v>
      </c>
      <c r="J191" s="29"/>
      <c r="K191" s="29"/>
      <c r="L191" s="38" t="s">
        <v>1534</v>
      </c>
      <c r="M191" s="29">
        <v>190</v>
      </c>
    </row>
    <row r="192" spans="1:13">
      <c r="A192" s="29">
        <v>191</v>
      </c>
      <c r="B192" s="38" t="s">
        <v>467</v>
      </c>
      <c r="C192" s="29" t="s">
        <v>989</v>
      </c>
      <c r="D192" s="29" t="s">
        <v>990</v>
      </c>
      <c r="E192" s="29">
        <v>0</v>
      </c>
      <c r="F192" s="29" t="s">
        <v>1515</v>
      </c>
      <c r="G192" s="29" t="s">
        <v>991</v>
      </c>
      <c r="H192" s="29">
        <v>2024</v>
      </c>
      <c r="I192" s="29" t="s">
        <v>1531</v>
      </c>
      <c r="J192" s="29"/>
      <c r="K192" s="29"/>
      <c r="L192" s="38" t="s">
        <v>1534</v>
      </c>
      <c r="M192" s="29">
        <v>191</v>
      </c>
    </row>
    <row r="193" spans="1:13">
      <c r="A193" s="29">
        <v>192</v>
      </c>
      <c r="B193" s="38" t="s">
        <v>467</v>
      </c>
      <c r="C193" s="29" t="s">
        <v>992</v>
      </c>
      <c r="D193" s="29" t="s">
        <v>993</v>
      </c>
      <c r="E193" s="29">
        <v>0</v>
      </c>
      <c r="F193" s="29" t="s">
        <v>1515</v>
      </c>
      <c r="G193" s="29" t="s">
        <v>994</v>
      </c>
      <c r="H193" s="29">
        <v>2024</v>
      </c>
      <c r="I193" s="29" t="s">
        <v>1531</v>
      </c>
      <c r="J193" s="29"/>
      <c r="K193" s="29"/>
      <c r="L193" s="38" t="s">
        <v>1534</v>
      </c>
      <c r="M193" s="29">
        <v>192</v>
      </c>
    </row>
    <row r="194" spans="1:13">
      <c r="A194" s="29">
        <v>193</v>
      </c>
      <c r="B194" s="38" t="s">
        <v>467</v>
      </c>
      <c r="C194" s="29" t="s">
        <v>995</v>
      </c>
      <c r="D194" s="29" t="s">
        <v>996</v>
      </c>
      <c r="E194" s="29">
        <v>0</v>
      </c>
      <c r="F194" s="29" t="s">
        <v>1515</v>
      </c>
      <c r="G194" s="29" t="s">
        <v>997</v>
      </c>
      <c r="H194" s="29">
        <v>2024</v>
      </c>
      <c r="I194" s="29" t="s">
        <v>1531</v>
      </c>
      <c r="J194" s="29"/>
      <c r="K194" s="29"/>
      <c r="L194" s="38" t="s">
        <v>1534</v>
      </c>
      <c r="M194" s="29">
        <v>193</v>
      </c>
    </row>
    <row r="195" spans="1:13" ht="26.4">
      <c r="A195" s="29">
        <v>194</v>
      </c>
      <c r="B195" s="38" t="s">
        <v>467</v>
      </c>
      <c r="C195" s="29" t="s">
        <v>998</v>
      </c>
      <c r="D195" s="29" t="s">
        <v>999</v>
      </c>
      <c r="E195" s="29">
        <v>0</v>
      </c>
      <c r="F195" s="29" t="s">
        <v>1515</v>
      </c>
      <c r="G195" s="29" t="s">
        <v>1000</v>
      </c>
      <c r="H195" s="29">
        <v>2024</v>
      </c>
      <c r="I195" s="29" t="s">
        <v>1536</v>
      </c>
      <c r="J195" s="29" t="s">
        <v>1531</v>
      </c>
      <c r="K195" s="29"/>
      <c r="L195" s="38" t="s">
        <v>1588</v>
      </c>
      <c r="M195" s="29">
        <v>194</v>
      </c>
    </row>
    <row r="196" spans="1:13">
      <c r="A196" s="29">
        <v>195</v>
      </c>
      <c r="B196" s="38" t="s">
        <v>467</v>
      </c>
      <c r="C196" s="29" t="s">
        <v>1001</v>
      </c>
      <c r="D196" s="29" t="s">
        <v>1002</v>
      </c>
      <c r="E196" s="29">
        <v>0</v>
      </c>
      <c r="F196" s="29" t="s">
        <v>1515</v>
      </c>
      <c r="G196" s="29" t="s">
        <v>1003</v>
      </c>
      <c r="H196" s="29">
        <v>2024</v>
      </c>
      <c r="I196" s="29" t="s">
        <v>1531</v>
      </c>
      <c r="J196" s="29"/>
      <c r="K196" s="29"/>
      <c r="L196" s="38" t="s">
        <v>1534</v>
      </c>
      <c r="M196" s="29">
        <v>195</v>
      </c>
    </row>
    <row r="197" spans="1:13">
      <c r="A197" s="29">
        <v>196</v>
      </c>
      <c r="B197" s="38" t="s">
        <v>467</v>
      </c>
      <c r="C197" s="29" t="s">
        <v>1004</v>
      </c>
      <c r="D197" s="29" t="s">
        <v>1005</v>
      </c>
      <c r="E197" s="29">
        <v>0</v>
      </c>
      <c r="F197" s="29" t="s">
        <v>1515</v>
      </c>
      <c r="G197" s="29" t="s">
        <v>621</v>
      </c>
      <c r="H197" s="29">
        <v>2024</v>
      </c>
      <c r="I197" s="29" t="s">
        <v>1531</v>
      </c>
      <c r="J197" s="29"/>
      <c r="K197" s="29"/>
      <c r="L197" s="38" t="s">
        <v>1534</v>
      </c>
      <c r="M197" s="29">
        <v>196</v>
      </c>
    </row>
    <row r="198" spans="1:13">
      <c r="A198" s="29">
        <v>197</v>
      </c>
      <c r="B198" s="38" t="s">
        <v>467</v>
      </c>
      <c r="C198" s="29" t="s">
        <v>1006</v>
      </c>
      <c r="D198" s="29" t="s">
        <v>1007</v>
      </c>
      <c r="E198" s="29">
        <v>0</v>
      </c>
      <c r="F198" s="29" t="s">
        <v>1515</v>
      </c>
      <c r="G198" s="29" t="s">
        <v>1008</v>
      </c>
      <c r="H198" s="29">
        <v>2024</v>
      </c>
      <c r="I198" s="29" t="s">
        <v>1531</v>
      </c>
      <c r="J198" s="29"/>
      <c r="K198" s="29"/>
      <c r="L198" s="38" t="s">
        <v>1534</v>
      </c>
      <c r="M198" s="29">
        <v>197</v>
      </c>
    </row>
    <row r="199" spans="1:13">
      <c r="A199" s="29">
        <v>198</v>
      </c>
      <c r="B199" s="38" t="s">
        <v>467</v>
      </c>
      <c r="C199" s="29" t="s">
        <v>1009</v>
      </c>
      <c r="D199" s="29" t="s">
        <v>1010</v>
      </c>
      <c r="E199" s="29">
        <v>0</v>
      </c>
      <c r="F199" s="29" t="s">
        <v>1515</v>
      </c>
      <c r="G199" s="29" t="s">
        <v>1011</v>
      </c>
      <c r="H199" s="29">
        <v>2024</v>
      </c>
      <c r="I199" s="29" t="s">
        <v>1531</v>
      </c>
      <c r="J199" s="29"/>
      <c r="K199" s="29"/>
      <c r="L199" s="38" t="s">
        <v>1534</v>
      </c>
      <c r="M199" s="29">
        <v>198</v>
      </c>
    </row>
    <row r="200" spans="1:13">
      <c r="A200" s="29">
        <v>199</v>
      </c>
      <c r="B200" s="38" t="s">
        <v>467</v>
      </c>
      <c r="C200" s="29" t="s">
        <v>1012</v>
      </c>
      <c r="D200" s="29" t="s">
        <v>1013</v>
      </c>
      <c r="E200" s="29">
        <v>0</v>
      </c>
      <c r="F200" s="29" t="s">
        <v>1515</v>
      </c>
      <c r="G200" s="29" t="s">
        <v>1014</v>
      </c>
      <c r="H200" s="29">
        <v>2024</v>
      </c>
      <c r="I200" s="29" t="s">
        <v>1531</v>
      </c>
      <c r="J200" s="29"/>
      <c r="K200" s="29"/>
      <c r="L200" s="38" t="s">
        <v>1534</v>
      </c>
      <c r="M200" s="29">
        <v>199</v>
      </c>
    </row>
    <row r="201" spans="1:13">
      <c r="A201" s="29">
        <v>200</v>
      </c>
      <c r="B201" s="38" t="s">
        <v>467</v>
      </c>
      <c r="C201" s="29" t="s">
        <v>1015</v>
      </c>
      <c r="D201" s="29" t="s">
        <v>1016</v>
      </c>
      <c r="E201" s="29">
        <v>0</v>
      </c>
      <c r="F201" s="29" t="s">
        <v>1515</v>
      </c>
      <c r="G201" s="29" t="s">
        <v>1017</v>
      </c>
      <c r="H201" s="29">
        <v>2024</v>
      </c>
      <c r="I201" s="29" t="s">
        <v>1531</v>
      </c>
      <c r="J201" s="29"/>
      <c r="K201" s="29"/>
      <c r="L201" s="38" t="s">
        <v>1534</v>
      </c>
      <c r="M201" s="29">
        <v>200</v>
      </c>
    </row>
    <row r="202" spans="1:13">
      <c r="A202" s="29">
        <v>201</v>
      </c>
      <c r="B202" s="38" t="s">
        <v>467</v>
      </c>
      <c r="C202" s="29" t="s">
        <v>1018</v>
      </c>
      <c r="D202" s="29" t="s">
        <v>1019</v>
      </c>
      <c r="E202" s="29">
        <v>0</v>
      </c>
      <c r="F202" s="29" t="s">
        <v>1515</v>
      </c>
      <c r="G202" s="29" t="s">
        <v>1020</v>
      </c>
      <c r="H202" s="29">
        <v>2024</v>
      </c>
      <c r="I202" s="29" t="s">
        <v>1531</v>
      </c>
      <c r="J202" s="29"/>
      <c r="K202" s="29"/>
      <c r="L202" s="38" t="s">
        <v>1534</v>
      </c>
      <c r="M202" s="29">
        <v>201</v>
      </c>
    </row>
    <row r="203" spans="1:13">
      <c r="A203" s="29">
        <v>202</v>
      </c>
      <c r="B203" s="38" t="s">
        <v>467</v>
      </c>
      <c r="C203" s="29" t="s">
        <v>1021</v>
      </c>
      <c r="D203" s="29" t="s">
        <v>1022</v>
      </c>
      <c r="E203" s="29">
        <v>1</v>
      </c>
      <c r="F203" s="29" t="s">
        <v>1515</v>
      </c>
      <c r="G203" s="29" t="s">
        <v>766</v>
      </c>
      <c r="H203" s="29">
        <v>2024</v>
      </c>
      <c r="I203" s="29" t="s">
        <v>1536</v>
      </c>
      <c r="J203" s="29" t="s">
        <v>1536</v>
      </c>
      <c r="K203" s="29" t="s">
        <v>1536</v>
      </c>
      <c r="L203" s="38"/>
      <c r="M203" s="29">
        <v>202</v>
      </c>
    </row>
    <row r="204" spans="1:13">
      <c r="A204" s="29">
        <v>203</v>
      </c>
      <c r="B204" s="38" t="s">
        <v>467</v>
      </c>
      <c r="C204" s="29" t="s">
        <v>1023</v>
      </c>
      <c r="D204" s="29" t="s">
        <v>1024</v>
      </c>
      <c r="E204" s="29">
        <v>0</v>
      </c>
      <c r="F204" s="29" t="s">
        <v>1515</v>
      </c>
      <c r="G204" s="29" t="s">
        <v>1025</v>
      </c>
      <c r="H204" s="29">
        <v>2024</v>
      </c>
      <c r="I204" s="29" t="s">
        <v>1531</v>
      </c>
      <c r="J204" s="29"/>
      <c r="K204" s="29"/>
      <c r="L204" s="38" t="s">
        <v>1534</v>
      </c>
      <c r="M204" s="29">
        <v>203</v>
      </c>
    </row>
    <row r="205" spans="1:13">
      <c r="A205" s="29">
        <v>204</v>
      </c>
      <c r="B205" s="38" t="s">
        <v>467</v>
      </c>
      <c r="C205" s="29" t="s">
        <v>1026</v>
      </c>
      <c r="D205" s="29" t="s">
        <v>1027</v>
      </c>
      <c r="E205" s="29">
        <v>0</v>
      </c>
      <c r="F205" s="29" t="s">
        <v>1515</v>
      </c>
      <c r="G205" s="29" t="s">
        <v>1028</v>
      </c>
      <c r="H205" s="29">
        <v>2024</v>
      </c>
      <c r="I205" s="29" t="s">
        <v>1531</v>
      </c>
      <c r="J205" s="29"/>
      <c r="K205" s="29"/>
      <c r="L205" s="38" t="s">
        <v>1534</v>
      </c>
      <c r="M205" s="29">
        <v>204</v>
      </c>
    </row>
    <row r="206" spans="1:13">
      <c r="A206" s="29">
        <v>205</v>
      </c>
      <c r="B206" s="38" t="s">
        <v>467</v>
      </c>
      <c r="C206" s="29" t="s">
        <v>683</v>
      </c>
      <c r="D206" s="29" t="s">
        <v>1589</v>
      </c>
      <c r="E206" s="29">
        <v>0</v>
      </c>
      <c r="F206" s="29" t="s">
        <v>1515</v>
      </c>
      <c r="G206" s="29" t="s">
        <v>1029</v>
      </c>
      <c r="H206" s="29">
        <v>2024</v>
      </c>
      <c r="I206" s="29" t="s">
        <v>1536</v>
      </c>
      <c r="J206" s="29" t="s">
        <v>1531</v>
      </c>
      <c r="K206" s="29"/>
      <c r="L206" s="38" t="s">
        <v>1590</v>
      </c>
      <c r="M206" s="29">
        <v>205</v>
      </c>
    </row>
    <row r="207" spans="1:13">
      <c r="A207" s="29">
        <v>206</v>
      </c>
      <c r="B207" s="38" t="s">
        <v>467</v>
      </c>
      <c r="C207" s="29" t="s">
        <v>1030</v>
      </c>
      <c r="D207" s="29" t="s">
        <v>1031</v>
      </c>
      <c r="E207" s="29">
        <v>0</v>
      </c>
      <c r="F207" s="29" t="s">
        <v>1515</v>
      </c>
      <c r="G207" s="29" t="s">
        <v>1032</v>
      </c>
      <c r="H207" s="29">
        <v>2024</v>
      </c>
      <c r="I207" s="29" t="s">
        <v>1531</v>
      </c>
      <c r="J207" s="29"/>
      <c r="K207" s="29"/>
      <c r="L207" s="38" t="s">
        <v>1534</v>
      </c>
      <c r="M207" s="29">
        <v>206</v>
      </c>
    </row>
    <row r="208" spans="1:13">
      <c r="A208" s="29">
        <v>207</v>
      </c>
      <c r="B208" s="38" t="s">
        <v>467</v>
      </c>
      <c r="C208" s="29" t="s">
        <v>1033</v>
      </c>
      <c r="D208" s="29" t="s">
        <v>1034</v>
      </c>
      <c r="E208" s="29">
        <v>0</v>
      </c>
      <c r="F208" s="29" t="s">
        <v>1515</v>
      </c>
      <c r="G208" s="29" t="s">
        <v>1035</v>
      </c>
      <c r="H208" s="29">
        <v>2024</v>
      </c>
      <c r="I208" s="29" t="s">
        <v>1531</v>
      </c>
      <c r="J208" s="29"/>
      <c r="K208" s="29"/>
      <c r="L208" s="38" t="s">
        <v>1534</v>
      </c>
      <c r="M208" s="29">
        <v>207</v>
      </c>
    </row>
    <row r="209" spans="1:13">
      <c r="A209" s="29">
        <v>208</v>
      </c>
      <c r="B209" s="38" t="s">
        <v>467</v>
      </c>
      <c r="C209" s="29" t="s">
        <v>1036</v>
      </c>
      <c r="D209" s="29" t="s">
        <v>1037</v>
      </c>
      <c r="E209" s="29">
        <v>0</v>
      </c>
      <c r="F209" s="29" t="s">
        <v>1515</v>
      </c>
      <c r="G209" s="29" t="s">
        <v>1038</v>
      </c>
      <c r="H209" s="29">
        <v>2024</v>
      </c>
      <c r="I209" s="29" t="s">
        <v>1531</v>
      </c>
      <c r="J209" s="29"/>
      <c r="K209" s="29"/>
      <c r="L209" s="38" t="s">
        <v>1534</v>
      </c>
      <c r="M209" s="29">
        <v>208</v>
      </c>
    </row>
    <row r="210" spans="1:13">
      <c r="A210" s="29">
        <v>209</v>
      </c>
      <c r="B210" s="38" t="s">
        <v>467</v>
      </c>
      <c r="C210" s="29" t="s">
        <v>1039</v>
      </c>
      <c r="D210" s="29" t="s">
        <v>1040</v>
      </c>
      <c r="E210" s="29">
        <v>0</v>
      </c>
      <c r="F210" s="29" t="s">
        <v>1515</v>
      </c>
      <c r="G210" s="29" t="s">
        <v>1041</v>
      </c>
      <c r="H210" s="29">
        <v>2024</v>
      </c>
      <c r="I210" s="29" t="s">
        <v>1531</v>
      </c>
      <c r="J210" s="29"/>
      <c r="K210" s="29"/>
      <c r="L210" s="38" t="s">
        <v>1534</v>
      </c>
      <c r="M210" s="29">
        <v>209</v>
      </c>
    </row>
    <row r="211" spans="1:13">
      <c r="A211" s="29">
        <v>210</v>
      </c>
      <c r="B211" s="38" t="s">
        <v>467</v>
      </c>
      <c r="C211" s="29" t="s">
        <v>1042</v>
      </c>
      <c r="D211" s="29" t="s">
        <v>1043</v>
      </c>
      <c r="E211" s="29">
        <v>0</v>
      </c>
      <c r="F211" s="29" t="s">
        <v>1515</v>
      </c>
      <c r="G211" s="29" t="s">
        <v>1044</v>
      </c>
      <c r="H211" s="29">
        <v>2024</v>
      </c>
      <c r="I211" s="29" t="s">
        <v>1531</v>
      </c>
      <c r="J211" s="29"/>
      <c r="K211" s="29"/>
      <c r="L211" s="38" t="s">
        <v>1534</v>
      </c>
      <c r="M211" s="29">
        <v>210</v>
      </c>
    </row>
    <row r="212" spans="1:13">
      <c r="A212" s="29">
        <v>211</v>
      </c>
      <c r="B212" s="38" t="s">
        <v>467</v>
      </c>
      <c r="C212" s="29" t="s">
        <v>1045</v>
      </c>
      <c r="D212" s="29" t="s">
        <v>1046</v>
      </c>
      <c r="E212" s="29">
        <v>0</v>
      </c>
      <c r="F212" s="29" t="s">
        <v>1515</v>
      </c>
      <c r="G212" s="29" t="s">
        <v>588</v>
      </c>
      <c r="H212" s="29">
        <v>2024</v>
      </c>
      <c r="I212" s="29" t="s">
        <v>1531</v>
      </c>
      <c r="J212" s="29"/>
      <c r="K212" s="29"/>
      <c r="L212" s="38" t="s">
        <v>1534</v>
      </c>
      <c r="M212" s="29">
        <v>211</v>
      </c>
    </row>
    <row r="213" spans="1:13">
      <c r="A213" s="29">
        <v>212</v>
      </c>
      <c r="B213" s="38" t="s">
        <v>467</v>
      </c>
      <c r="C213" s="29" t="s">
        <v>1047</v>
      </c>
      <c r="D213" s="29" t="s">
        <v>1048</v>
      </c>
      <c r="E213" s="29">
        <v>1</v>
      </c>
      <c r="F213" s="29" t="s">
        <v>1515</v>
      </c>
      <c r="G213" s="29" t="s">
        <v>1049</v>
      </c>
      <c r="H213" s="29">
        <v>2024</v>
      </c>
      <c r="I213" s="29" t="s">
        <v>1536</v>
      </c>
      <c r="J213" s="29" t="s">
        <v>1536</v>
      </c>
      <c r="K213" s="29" t="s">
        <v>1536</v>
      </c>
      <c r="L213" s="38"/>
      <c r="M213" s="29">
        <v>212</v>
      </c>
    </row>
    <row r="214" spans="1:13">
      <c r="A214" s="29">
        <v>213</v>
      </c>
      <c r="B214" s="38" t="s">
        <v>467</v>
      </c>
      <c r="C214" s="29" t="s">
        <v>1050</v>
      </c>
      <c r="D214" s="29" t="s">
        <v>1051</v>
      </c>
      <c r="E214" s="29">
        <v>0</v>
      </c>
      <c r="F214" s="29" t="s">
        <v>1515</v>
      </c>
      <c r="G214" s="29" t="s">
        <v>1052</v>
      </c>
      <c r="H214" s="29">
        <v>2024</v>
      </c>
      <c r="I214" s="29" t="s">
        <v>1531</v>
      </c>
      <c r="J214" s="29"/>
      <c r="K214" s="29"/>
      <c r="L214" s="38" t="s">
        <v>1534</v>
      </c>
      <c r="M214" s="29">
        <v>213</v>
      </c>
    </row>
    <row r="215" spans="1:13">
      <c r="A215" s="29">
        <v>214</v>
      </c>
      <c r="B215" s="38" t="s">
        <v>467</v>
      </c>
      <c r="C215" s="29" t="s">
        <v>1053</v>
      </c>
      <c r="D215" s="29" t="s">
        <v>1054</v>
      </c>
      <c r="E215" s="29">
        <v>0</v>
      </c>
      <c r="F215" s="29" t="s">
        <v>1515</v>
      </c>
      <c r="G215" s="29" t="s">
        <v>1055</v>
      </c>
      <c r="H215" s="29">
        <v>2024</v>
      </c>
      <c r="I215" s="29" t="s">
        <v>1531</v>
      </c>
      <c r="J215" s="29"/>
      <c r="K215" s="29"/>
      <c r="L215" s="38" t="s">
        <v>1534</v>
      </c>
      <c r="M215" s="29">
        <v>214</v>
      </c>
    </row>
    <row r="216" spans="1:13">
      <c r="A216" s="29">
        <v>215</v>
      </c>
      <c r="B216" s="38" t="s">
        <v>467</v>
      </c>
      <c r="C216" s="29" t="s">
        <v>1056</v>
      </c>
      <c r="D216" s="29" t="s">
        <v>1057</v>
      </c>
      <c r="E216" s="29">
        <v>0</v>
      </c>
      <c r="F216" s="29" t="s">
        <v>1515</v>
      </c>
      <c r="G216" s="29" t="s">
        <v>661</v>
      </c>
      <c r="H216" s="29">
        <v>2024</v>
      </c>
      <c r="I216" s="29" t="s">
        <v>1531</v>
      </c>
      <c r="J216" s="29"/>
      <c r="K216" s="29"/>
      <c r="L216" s="38" t="s">
        <v>1534</v>
      </c>
      <c r="M216" s="29">
        <v>215</v>
      </c>
    </row>
    <row r="217" spans="1:13">
      <c r="A217" s="29">
        <v>216</v>
      </c>
      <c r="B217" s="38" t="s">
        <v>467</v>
      </c>
      <c r="C217" s="29" t="s">
        <v>1058</v>
      </c>
      <c r="D217" s="29" t="s">
        <v>1059</v>
      </c>
      <c r="E217" s="29">
        <v>0</v>
      </c>
      <c r="F217" s="29" t="s">
        <v>1515</v>
      </c>
      <c r="G217" s="29" t="s">
        <v>661</v>
      </c>
      <c r="H217" s="29">
        <v>2024</v>
      </c>
      <c r="I217" s="29" t="s">
        <v>1531</v>
      </c>
      <c r="J217" s="29"/>
      <c r="K217" s="29"/>
      <c r="L217" s="38" t="s">
        <v>1534</v>
      </c>
      <c r="M217" s="29">
        <v>216</v>
      </c>
    </row>
    <row r="218" spans="1:13">
      <c r="A218" s="29">
        <v>217</v>
      </c>
      <c r="B218" s="38" t="s">
        <v>467</v>
      </c>
      <c r="C218" s="29" t="s">
        <v>1060</v>
      </c>
      <c r="D218" s="29" t="s">
        <v>1061</v>
      </c>
      <c r="E218" s="29">
        <v>0</v>
      </c>
      <c r="F218" s="29" t="s">
        <v>1515</v>
      </c>
      <c r="G218" s="29" t="s">
        <v>588</v>
      </c>
      <c r="H218" s="29">
        <v>2024</v>
      </c>
      <c r="I218" s="29" t="s">
        <v>1531</v>
      </c>
      <c r="J218" s="29"/>
      <c r="K218" s="29"/>
      <c r="L218" s="38" t="s">
        <v>1534</v>
      </c>
      <c r="M218" s="29">
        <v>217</v>
      </c>
    </row>
    <row r="219" spans="1:13">
      <c r="A219" s="29">
        <v>218</v>
      </c>
      <c r="B219" s="38" t="s">
        <v>467</v>
      </c>
      <c r="C219" s="29" t="s">
        <v>1062</v>
      </c>
      <c r="D219" s="29" t="s">
        <v>1063</v>
      </c>
      <c r="E219" s="29">
        <v>0</v>
      </c>
      <c r="F219" s="29" t="s">
        <v>1515</v>
      </c>
      <c r="G219" s="29" t="s">
        <v>588</v>
      </c>
      <c r="H219" s="29">
        <v>2024</v>
      </c>
      <c r="I219" s="29" t="s">
        <v>1531</v>
      </c>
      <c r="J219" s="29"/>
      <c r="K219" s="29"/>
      <c r="L219" s="38" t="s">
        <v>1534</v>
      </c>
      <c r="M219" s="29">
        <v>218</v>
      </c>
    </row>
    <row r="220" spans="1:13">
      <c r="A220" s="29">
        <v>219</v>
      </c>
      <c r="B220" s="38" t="s">
        <v>467</v>
      </c>
      <c r="C220" s="29" t="s">
        <v>1064</v>
      </c>
      <c r="D220" s="29" t="s">
        <v>1065</v>
      </c>
      <c r="E220" s="29">
        <v>0</v>
      </c>
      <c r="F220" s="29" t="s">
        <v>1515</v>
      </c>
      <c r="G220" s="29" t="s">
        <v>661</v>
      </c>
      <c r="H220" s="29">
        <v>2024</v>
      </c>
      <c r="I220" s="29" t="s">
        <v>1531</v>
      </c>
      <c r="J220" s="29"/>
      <c r="K220" s="29"/>
      <c r="L220" s="38" t="s">
        <v>1534</v>
      </c>
      <c r="M220" s="29">
        <v>219</v>
      </c>
    </row>
    <row r="221" spans="1:13">
      <c r="A221" s="29">
        <v>220</v>
      </c>
      <c r="B221" s="38" t="s">
        <v>467</v>
      </c>
      <c r="C221" s="29" t="s">
        <v>1066</v>
      </c>
      <c r="D221" s="29" t="s">
        <v>1067</v>
      </c>
      <c r="E221" s="29">
        <v>0</v>
      </c>
      <c r="F221" s="29" t="s">
        <v>1515</v>
      </c>
      <c r="G221" s="29" t="s">
        <v>1068</v>
      </c>
      <c r="H221" s="29">
        <v>2024</v>
      </c>
      <c r="I221" s="29" t="s">
        <v>1531</v>
      </c>
      <c r="J221" s="29"/>
      <c r="K221" s="29"/>
      <c r="L221" s="38" t="s">
        <v>1534</v>
      </c>
      <c r="M221" s="29">
        <v>220</v>
      </c>
    </row>
    <row r="222" spans="1:13">
      <c r="A222" s="29">
        <v>221</v>
      </c>
      <c r="B222" s="38" t="s">
        <v>467</v>
      </c>
      <c r="C222" s="29" t="s">
        <v>1069</v>
      </c>
      <c r="D222" s="29" t="s">
        <v>1070</v>
      </c>
      <c r="E222" s="29">
        <v>0</v>
      </c>
      <c r="F222" s="29" t="s">
        <v>1515</v>
      </c>
      <c r="G222" s="29" t="s">
        <v>1044</v>
      </c>
      <c r="H222" s="29">
        <v>2024</v>
      </c>
      <c r="I222" s="29" t="s">
        <v>1531</v>
      </c>
      <c r="J222" s="29"/>
      <c r="K222" s="29"/>
      <c r="L222" s="38" t="s">
        <v>1534</v>
      </c>
      <c r="M222" s="29">
        <v>221</v>
      </c>
    </row>
    <row r="223" spans="1:13">
      <c r="A223" s="29">
        <v>222</v>
      </c>
      <c r="B223" s="38" t="s">
        <v>467</v>
      </c>
      <c r="C223" s="29" t="s">
        <v>1071</v>
      </c>
      <c r="D223" s="29" t="s">
        <v>1072</v>
      </c>
      <c r="E223" s="29">
        <v>0</v>
      </c>
      <c r="F223" s="29" t="s">
        <v>1515</v>
      </c>
      <c r="G223" s="29" t="s">
        <v>1073</v>
      </c>
      <c r="H223" s="29">
        <v>2024</v>
      </c>
      <c r="I223" s="29" t="s">
        <v>1531</v>
      </c>
      <c r="J223" s="29"/>
      <c r="K223" s="29"/>
      <c r="L223" s="38" t="s">
        <v>1534</v>
      </c>
      <c r="M223" s="29">
        <v>222</v>
      </c>
    </row>
    <row r="224" spans="1:13" ht="26.4">
      <c r="A224" s="29">
        <v>223</v>
      </c>
      <c r="B224" s="38" t="s">
        <v>467</v>
      </c>
      <c r="C224" s="29" t="s">
        <v>1074</v>
      </c>
      <c r="D224" s="29" t="s">
        <v>1075</v>
      </c>
      <c r="E224" s="29">
        <v>0</v>
      </c>
      <c r="F224" s="29" t="s">
        <v>1515</v>
      </c>
      <c r="G224" s="29" t="s">
        <v>1076</v>
      </c>
      <c r="H224" s="29">
        <v>2024</v>
      </c>
      <c r="I224" s="29" t="s">
        <v>1536</v>
      </c>
      <c r="J224" s="29" t="s">
        <v>1536</v>
      </c>
      <c r="K224" s="29" t="s">
        <v>1531</v>
      </c>
      <c r="L224" s="38" t="s">
        <v>1591</v>
      </c>
      <c r="M224" s="29">
        <v>223</v>
      </c>
    </row>
    <row r="225" spans="1:13">
      <c r="A225" s="29">
        <v>224</v>
      </c>
      <c r="B225" s="38" t="s">
        <v>467</v>
      </c>
      <c r="C225" s="29" t="s">
        <v>1077</v>
      </c>
      <c r="D225" s="29" t="s">
        <v>1078</v>
      </c>
      <c r="E225" s="29">
        <v>0</v>
      </c>
      <c r="F225" s="29" t="s">
        <v>1515</v>
      </c>
      <c r="G225" s="29" t="s">
        <v>1079</v>
      </c>
      <c r="H225" s="29">
        <v>2024</v>
      </c>
      <c r="I225" s="29" t="s">
        <v>1531</v>
      </c>
      <c r="J225" s="29"/>
      <c r="K225" s="29"/>
      <c r="L225" s="38" t="s">
        <v>1534</v>
      </c>
      <c r="M225" s="29">
        <v>224</v>
      </c>
    </row>
    <row r="226" spans="1:13">
      <c r="A226" s="29">
        <v>225</v>
      </c>
      <c r="B226" s="38" t="s">
        <v>467</v>
      </c>
      <c r="C226" s="29" t="s">
        <v>1080</v>
      </c>
      <c r="D226" s="29" t="s">
        <v>1081</v>
      </c>
      <c r="E226" s="29">
        <v>0</v>
      </c>
      <c r="F226" s="29" t="s">
        <v>1515</v>
      </c>
      <c r="G226" s="29" t="s">
        <v>1082</v>
      </c>
      <c r="H226" s="29">
        <v>2024</v>
      </c>
      <c r="I226" s="29" t="s">
        <v>1531</v>
      </c>
      <c r="J226" s="29"/>
      <c r="K226" s="29"/>
      <c r="L226" s="38" t="s">
        <v>1534</v>
      </c>
      <c r="M226" s="29">
        <v>225</v>
      </c>
    </row>
    <row r="227" spans="1:13">
      <c r="A227" s="29">
        <v>226</v>
      </c>
      <c r="B227" s="38" t="s">
        <v>467</v>
      </c>
      <c r="C227" s="29" t="s">
        <v>1083</v>
      </c>
      <c r="D227" s="29" t="s">
        <v>1084</v>
      </c>
      <c r="E227" s="29">
        <v>0</v>
      </c>
      <c r="F227" s="29" t="s">
        <v>1515</v>
      </c>
      <c r="G227" s="29" t="s">
        <v>774</v>
      </c>
      <c r="H227" s="29">
        <v>2024</v>
      </c>
      <c r="I227" s="29" t="s">
        <v>1531</v>
      </c>
      <c r="J227" s="29"/>
      <c r="K227" s="29"/>
      <c r="L227" s="38" t="s">
        <v>1534</v>
      </c>
      <c r="M227" s="29">
        <v>226</v>
      </c>
    </row>
    <row r="228" spans="1:13">
      <c r="A228" s="29">
        <v>227</v>
      </c>
      <c r="B228" s="38" t="s">
        <v>467</v>
      </c>
      <c r="C228" s="29" t="s">
        <v>1085</v>
      </c>
      <c r="D228" s="29" t="s">
        <v>1086</v>
      </c>
      <c r="E228" s="29">
        <v>0</v>
      </c>
      <c r="F228" s="29" t="s">
        <v>1515</v>
      </c>
      <c r="G228" s="29" t="s">
        <v>1087</v>
      </c>
      <c r="H228" s="29">
        <v>2024</v>
      </c>
      <c r="I228" s="29" t="s">
        <v>1531</v>
      </c>
      <c r="J228" s="29"/>
      <c r="K228" s="29"/>
      <c r="L228" s="38" t="s">
        <v>1534</v>
      </c>
      <c r="M228" s="29">
        <v>227</v>
      </c>
    </row>
    <row r="229" spans="1:13">
      <c r="A229" s="29">
        <v>228</v>
      </c>
      <c r="B229" s="38" t="s">
        <v>467</v>
      </c>
      <c r="C229" s="29" t="s">
        <v>1088</v>
      </c>
      <c r="D229" s="29" t="s">
        <v>1089</v>
      </c>
      <c r="E229" s="29">
        <v>0</v>
      </c>
      <c r="F229" s="29" t="s">
        <v>1515</v>
      </c>
      <c r="G229" s="29" t="s">
        <v>545</v>
      </c>
      <c r="H229" s="29">
        <v>2024</v>
      </c>
      <c r="I229" s="29" t="s">
        <v>1531</v>
      </c>
      <c r="J229" s="29"/>
      <c r="K229" s="29"/>
      <c r="L229" s="38" t="s">
        <v>1534</v>
      </c>
      <c r="M229" s="29">
        <v>228</v>
      </c>
    </row>
    <row r="230" spans="1:13">
      <c r="A230" s="29">
        <v>229</v>
      </c>
      <c r="B230" s="38" t="s">
        <v>467</v>
      </c>
      <c r="C230" s="29" t="s">
        <v>1090</v>
      </c>
      <c r="D230" s="29" t="s">
        <v>1091</v>
      </c>
      <c r="E230" s="29">
        <v>0</v>
      </c>
      <c r="F230" s="29" t="s">
        <v>1515</v>
      </c>
      <c r="G230" s="29" t="s">
        <v>766</v>
      </c>
      <c r="H230" s="29">
        <v>2024</v>
      </c>
      <c r="I230" s="29" t="s">
        <v>1531</v>
      </c>
      <c r="J230" s="29"/>
      <c r="K230" s="29"/>
      <c r="L230" s="38" t="s">
        <v>1534</v>
      </c>
      <c r="M230" s="29">
        <v>229</v>
      </c>
    </row>
    <row r="231" spans="1:13">
      <c r="A231" s="29">
        <v>230</v>
      </c>
      <c r="B231" s="38" t="s">
        <v>467</v>
      </c>
      <c r="C231" s="29" t="s">
        <v>1092</v>
      </c>
      <c r="D231" s="29" t="s">
        <v>1093</v>
      </c>
      <c r="E231" s="29">
        <v>0</v>
      </c>
      <c r="F231" s="29" t="s">
        <v>1515</v>
      </c>
      <c r="G231" s="29" t="s">
        <v>1094</v>
      </c>
      <c r="H231" s="29">
        <v>2024</v>
      </c>
      <c r="I231" s="29" t="s">
        <v>1531</v>
      </c>
      <c r="J231" s="29"/>
      <c r="K231" s="29"/>
      <c r="L231" s="38" t="s">
        <v>1534</v>
      </c>
      <c r="M231" s="29">
        <v>230</v>
      </c>
    </row>
    <row r="232" spans="1:13">
      <c r="A232" s="29">
        <v>231</v>
      </c>
      <c r="B232" s="38" t="s">
        <v>467</v>
      </c>
      <c r="C232" s="29" t="s">
        <v>656</v>
      </c>
      <c r="D232" s="29" t="s">
        <v>1095</v>
      </c>
      <c r="E232" s="29">
        <v>0</v>
      </c>
      <c r="F232" s="29" t="s">
        <v>1515</v>
      </c>
      <c r="G232" s="29" t="s">
        <v>1096</v>
      </c>
      <c r="H232" s="29">
        <v>2024</v>
      </c>
      <c r="I232" s="29" t="s">
        <v>1536</v>
      </c>
      <c r="J232" s="29" t="s">
        <v>1536</v>
      </c>
      <c r="K232" s="29" t="s">
        <v>1531</v>
      </c>
      <c r="L232" s="38" t="s">
        <v>1592</v>
      </c>
      <c r="M232" s="29">
        <v>231</v>
      </c>
    </row>
    <row r="233" spans="1:13">
      <c r="A233" s="29">
        <v>232</v>
      </c>
      <c r="B233" s="38" t="s">
        <v>467</v>
      </c>
      <c r="C233" s="29" t="s">
        <v>1097</v>
      </c>
      <c r="D233" s="29" t="s">
        <v>1098</v>
      </c>
      <c r="E233" s="29">
        <v>0</v>
      </c>
      <c r="F233" s="29" t="s">
        <v>1515</v>
      </c>
      <c r="G233" s="29" t="s">
        <v>1099</v>
      </c>
      <c r="H233" s="29">
        <v>2024</v>
      </c>
      <c r="I233" s="29" t="s">
        <v>1531</v>
      </c>
      <c r="J233" s="29"/>
      <c r="K233" s="29"/>
      <c r="L233" s="38" t="s">
        <v>1534</v>
      </c>
      <c r="M233" s="29">
        <v>232</v>
      </c>
    </row>
    <row r="234" spans="1:13">
      <c r="A234" s="29">
        <v>233</v>
      </c>
      <c r="B234" s="38" t="s">
        <v>467</v>
      </c>
      <c r="C234" s="29" t="s">
        <v>1100</v>
      </c>
      <c r="D234" s="29" t="s">
        <v>1101</v>
      </c>
      <c r="E234" s="29">
        <v>0</v>
      </c>
      <c r="F234" s="29" t="s">
        <v>1515</v>
      </c>
      <c r="G234" s="29" t="s">
        <v>1102</v>
      </c>
      <c r="H234" s="29">
        <v>2024</v>
      </c>
      <c r="I234" s="29" t="s">
        <v>1531</v>
      </c>
      <c r="J234" s="29"/>
      <c r="K234" s="29"/>
      <c r="L234" s="38" t="s">
        <v>1534</v>
      </c>
      <c r="M234" s="29">
        <v>233</v>
      </c>
    </row>
    <row r="235" spans="1:13">
      <c r="A235" s="29">
        <v>234</v>
      </c>
      <c r="B235" s="38" t="s">
        <v>467</v>
      </c>
      <c r="C235" s="29" t="s">
        <v>1103</v>
      </c>
      <c r="D235" s="29" t="s">
        <v>1593</v>
      </c>
      <c r="E235" s="29">
        <v>0</v>
      </c>
      <c r="F235" s="29" t="s">
        <v>1515</v>
      </c>
      <c r="G235" s="29" t="s">
        <v>1104</v>
      </c>
      <c r="H235" s="29">
        <v>2024</v>
      </c>
      <c r="I235" s="29" t="s">
        <v>1536</v>
      </c>
      <c r="J235" s="29" t="s">
        <v>1536</v>
      </c>
      <c r="K235" s="29" t="s">
        <v>1531</v>
      </c>
      <c r="L235" s="38" t="s">
        <v>1594</v>
      </c>
      <c r="M235" s="29">
        <v>234</v>
      </c>
    </row>
    <row r="236" spans="1:13">
      <c r="A236" s="29">
        <v>235</v>
      </c>
      <c r="B236" s="38" t="s">
        <v>467</v>
      </c>
      <c r="C236" s="29" t="s">
        <v>1105</v>
      </c>
      <c r="D236" s="29" t="s">
        <v>1106</v>
      </c>
      <c r="E236" s="29">
        <v>0</v>
      </c>
      <c r="F236" s="29" t="s">
        <v>1515</v>
      </c>
      <c r="G236" s="29" t="s">
        <v>1107</v>
      </c>
      <c r="H236" s="29">
        <v>2024</v>
      </c>
      <c r="I236" s="29" t="s">
        <v>1531</v>
      </c>
      <c r="J236" s="29"/>
      <c r="K236" s="29"/>
      <c r="L236" s="38" t="s">
        <v>1534</v>
      </c>
      <c r="M236" s="29">
        <v>235</v>
      </c>
    </row>
    <row r="237" spans="1:13">
      <c r="A237" s="29">
        <v>236</v>
      </c>
      <c r="B237" s="38" t="s">
        <v>467</v>
      </c>
      <c r="C237" s="29" t="s">
        <v>1108</v>
      </c>
      <c r="D237" s="29" t="s">
        <v>1109</v>
      </c>
      <c r="E237" s="29">
        <v>0</v>
      </c>
      <c r="F237" s="29" t="s">
        <v>1515</v>
      </c>
      <c r="G237" s="29" t="s">
        <v>1110</v>
      </c>
      <c r="H237" s="29">
        <v>2024</v>
      </c>
      <c r="I237" s="29" t="s">
        <v>1531</v>
      </c>
      <c r="J237" s="29"/>
      <c r="K237" s="29"/>
      <c r="L237" s="38" t="s">
        <v>1534</v>
      </c>
      <c r="M237" s="29">
        <v>236</v>
      </c>
    </row>
    <row r="238" spans="1:13">
      <c r="A238" s="29">
        <v>237</v>
      </c>
      <c r="B238" s="38" t="s">
        <v>467</v>
      </c>
      <c r="C238" s="29" t="s">
        <v>1111</v>
      </c>
      <c r="D238" s="29" t="s">
        <v>1112</v>
      </c>
      <c r="E238" s="29">
        <v>0</v>
      </c>
      <c r="F238" s="29" t="s">
        <v>1516</v>
      </c>
      <c r="G238" s="29" t="s">
        <v>1113</v>
      </c>
      <c r="H238" s="29">
        <v>2024</v>
      </c>
      <c r="I238" s="29" t="s">
        <v>1531</v>
      </c>
      <c r="J238" s="29"/>
      <c r="K238" s="29"/>
      <c r="L238" s="38" t="s">
        <v>1532</v>
      </c>
      <c r="M238" s="29">
        <v>237</v>
      </c>
    </row>
    <row r="239" spans="1:13">
      <c r="A239" s="29">
        <v>238</v>
      </c>
      <c r="B239" s="38" t="s">
        <v>467</v>
      </c>
      <c r="C239" s="29" t="s">
        <v>1114</v>
      </c>
      <c r="D239" s="29" t="s">
        <v>1115</v>
      </c>
      <c r="E239" s="29">
        <v>1</v>
      </c>
      <c r="F239" s="29" t="s">
        <v>1515</v>
      </c>
      <c r="G239" s="29" t="s">
        <v>691</v>
      </c>
      <c r="H239" s="29">
        <v>2024</v>
      </c>
      <c r="I239" s="29" t="s">
        <v>1536</v>
      </c>
      <c r="J239" s="29" t="s">
        <v>1536</v>
      </c>
      <c r="K239" s="29" t="s">
        <v>1536</v>
      </c>
      <c r="L239" s="38"/>
      <c r="M239" s="29">
        <v>238</v>
      </c>
    </row>
    <row r="240" spans="1:13">
      <c r="A240" s="29">
        <v>239</v>
      </c>
      <c r="B240" s="38" t="s">
        <v>467</v>
      </c>
      <c r="C240" s="29" t="s">
        <v>1116</v>
      </c>
      <c r="D240" s="29" t="s">
        <v>1117</v>
      </c>
      <c r="E240" s="29">
        <v>0</v>
      </c>
      <c r="F240" s="29" t="s">
        <v>1515</v>
      </c>
      <c r="G240" s="29" t="s">
        <v>1087</v>
      </c>
      <c r="H240" s="29">
        <v>2024</v>
      </c>
      <c r="I240" s="29" t="s">
        <v>1531</v>
      </c>
      <c r="J240" s="29"/>
      <c r="K240" s="29"/>
      <c r="L240" s="38" t="s">
        <v>1534</v>
      </c>
      <c r="M240" s="29">
        <v>239</v>
      </c>
    </row>
    <row r="241" spans="1:13">
      <c r="A241" s="29">
        <v>240</v>
      </c>
      <c r="B241" s="38" t="s">
        <v>467</v>
      </c>
      <c r="C241" s="29" t="s">
        <v>744</v>
      </c>
      <c r="D241" s="29" t="s">
        <v>1118</v>
      </c>
      <c r="E241" s="29">
        <v>0</v>
      </c>
      <c r="F241" s="29" t="s">
        <v>1515</v>
      </c>
      <c r="G241" s="29" t="s">
        <v>1119</v>
      </c>
      <c r="H241" s="29">
        <v>2024</v>
      </c>
      <c r="I241" s="29" t="s">
        <v>1531</v>
      </c>
      <c r="J241" s="29"/>
      <c r="K241" s="29"/>
      <c r="L241" s="38" t="s">
        <v>1534</v>
      </c>
      <c r="M241" s="29">
        <v>240</v>
      </c>
    </row>
    <row r="242" spans="1:13">
      <c r="A242" s="29">
        <v>241</v>
      </c>
      <c r="B242" s="38" t="s">
        <v>467</v>
      </c>
      <c r="C242" s="29" t="s">
        <v>1120</v>
      </c>
      <c r="D242" s="29" t="s">
        <v>1121</v>
      </c>
      <c r="E242" s="29">
        <v>0</v>
      </c>
      <c r="F242" s="29" t="s">
        <v>1515</v>
      </c>
      <c r="G242" s="29" t="s">
        <v>1122</v>
      </c>
      <c r="H242" s="29">
        <v>2024</v>
      </c>
      <c r="I242" s="29" t="s">
        <v>1531</v>
      </c>
      <c r="J242" s="29"/>
      <c r="K242" s="29"/>
      <c r="L242" s="38" t="s">
        <v>1534</v>
      </c>
      <c r="M242" s="29">
        <v>241</v>
      </c>
    </row>
    <row r="243" spans="1:13">
      <c r="A243" s="29">
        <v>242</v>
      </c>
      <c r="B243" s="38" t="s">
        <v>467</v>
      </c>
      <c r="C243" s="29" t="s">
        <v>1123</v>
      </c>
      <c r="D243" s="29" t="s">
        <v>1124</v>
      </c>
      <c r="E243" s="29">
        <v>0</v>
      </c>
      <c r="F243" s="29" t="s">
        <v>1515</v>
      </c>
      <c r="G243" s="29" t="s">
        <v>774</v>
      </c>
      <c r="H243" s="29">
        <v>2024</v>
      </c>
      <c r="I243" s="29" t="s">
        <v>1531</v>
      </c>
      <c r="J243" s="29"/>
      <c r="K243" s="29"/>
      <c r="L243" s="38" t="s">
        <v>1534</v>
      </c>
      <c r="M243" s="29">
        <v>242</v>
      </c>
    </row>
    <row r="244" spans="1:13">
      <c r="A244" s="29">
        <v>243</v>
      </c>
      <c r="B244" s="38" t="s">
        <v>467</v>
      </c>
      <c r="C244" s="29" t="s">
        <v>1125</v>
      </c>
      <c r="D244" s="29" t="s">
        <v>1126</v>
      </c>
      <c r="E244" s="29">
        <v>0</v>
      </c>
      <c r="F244" s="29" t="s">
        <v>1516</v>
      </c>
      <c r="G244" s="29" t="s">
        <v>1127</v>
      </c>
      <c r="H244" s="29">
        <v>2024</v>
      </c>
      <c r="I244" s="29" t="s">
        <v>1531</v>
      </c>
      <c r="J244" s="29"/>
      <c r="K244" s="29"/>
      <c r="L244" s="38" t="s">
        <v>1532</v>
      </c>
      <c r="M244" s="29">
        <v>243</v>
      </c>
    </row>
    <row r="245" spans="1:13">
      <c r="A245" s="29">
        <v>244</v>
      </c>
      <c r="B245" s="38" t="s">
        <v>467</v>
      </c>
      <c r="C245" s="29" t="s">
        <v>1128</v>
      </c>
      <c r="D245" s="29" t="s">
        <v>1129</v>
      </c>
      <c r="E245" s="29">
        <v>1</v>
      </c>
      <c r="F245" s="29" t="s">
        <v>1515</v>
      </c>
      <c r="G245" s="29" t="s">
        <v>1130</v>
      </c>
      <c r="H245" s="29">
        <v>2024</v>
      </c>
      <c r="I245" s="29" t="s">
        <v>1536</v>
      </c>
      <c r="J245" s="29" t="s">
        <v>1536</v>
      </c>
      <c r="K245" s="29" t="s">
        <v>1536</v>
      </c>
      <c r="L245" s="38"/>
      <c r="M245" s="29">
        <v>244</v>
      </c>
    </row>
    <row r="246" spans="1:13">
      <c r="A246" s="29">
        <v>245</v>
      </c>
      <c r="B246" s="38" t="s">
        <v>467</v>
      </c>
      <c r="C246" s="29" t="s">
        <v>1131</v>
      </c>
      <c r="D246" s="29" t="s">
        <v>1132</v>
      </c>
      <c r="E246" s="29">
        <v>1</v>
      </c>
      <c r="F246" s="29" t="s">
        <v>1515</v>
      </c>
      <c r="G246" s="29" t="s">
        <v>1130</v>
      </c>
      <c r="H246" s="29">
        <v>2024</v>
      </c>
      <c r="I246" s="29" t="s">
        <v>1536</v>
      </c>
      <c r="J246" s="29" t="s">
        <v>1536</v>
      </c>
      <c r="K246" s="29" t="s">
        <v>1536</v>
      </c>
      <c r="L246" s="38"/>
      <c r="M246" s="29">
        <v>245</v>
      </c>
    </row>
    <row r="247" spans="1:13">
      <c r="A247" s="29">
        <v>246</v>
      </c>
      <c r="B247" s="38" t="s">
        <v>467</v>
      </c>
      <c r="C247" s="29" t="s">
        <v>1133</v>
      </c>
      <c r="D247" s="29" t="s">
        <v>1134</v>
      </c>
      <c r="E247" s="29">
        <v>1</v>
      </c>
      <c r="F247" s="29" t="s">
        <v>1515</v>
      </c>
      <c r="G247" s="29" t="s">
        <v>1130</v>
      </c>
      <c r="H247" s="29">
        <v>2024</v>
      </c>
      <c r="I247" s="29" t="s">
        <v>1536</v>
      </c>
      <c r="J247" s="29" t="s">
        <v>1536</v>
      </c>
      <c r="K247" s="29" t="s">
        <v>1536</v>
      </c>
      <c r="L247" s="38"/>
      <c r="M247" s="29">
        <v>246</v>
      </c>
    </row>
    <row r="248" spans="1:13" ht="26.4">
      <c r="A248" s="29">
        <v>247</v>
      </c>
      <c r="B248" s="38" t="s">
        <v>467</v>
      </c>
      <c r="C248" s="29" t="s">
        <v>1135</v>
      </c>
      <c r="D248" s="29" t="s">
        <v>1136</v>
      </c>
      <c r="E248" s="29">
        <v>0</v>
      </c>
      <c r="F248" s="29" t="s">
        <v>1515</v>
      </c>
      <c r="G248" s="29" t="s">
        <v>1038</v>
      </c>
      <c r="H248" s="29">
        <v>2024</v>
      </c>
      <c r="I248" s="29" t="s">
        <v>1536</v>
      </c>
      <c r="J248" s="29" t="s">
        <v>1536</v>
      </c>
      <c r="K248" s="29" t="s">
        <v>1531</v>
      </c>
      <c r="L248" s="38" t="s">
        <v>1595</v>
      </c>
      <c r="M248" s="29">
        <v>247</v>
      </c>
    </row>
    <row r="249" spans="1:13">
      <c r="A249" s="29">
        <v>248</v>
      </c>
      <c r="B249" s="38" t="s">
        <v>467</v>
      </c>
      <c r="C249" s="29" t="s">
        <v>1137</v>
      </c>
      <c r="D249" s="29" t="s">
        <v>1138</v>
      </c>
      <c r="E249" s="29">
        <v>0</v>
      </c>
      <c r="F249" s="29" t="s">
        <v>1515</v>
      </c>
      <c r="G249" s="29" t="s">
        <v>661</v>
      </c>
      <c r="H249" s="29">
        <v>2024</v>
      </c>
      <c r="I249" s="29" t="s">
        <v>1531</v>
      </c>
      <c r="J249" s="29"/>
      <c r="K249" s="29"/>
      <c r="L249" s="38" t="s">
        <v>1534</v>
      </c>
      <c r="M249" s="29">
        <v>248</v>
      </c>
    </row>
    <row r="250" spans="1:13">
      <c r="A250" s="29">
        <v>249</v>
      </c>
      <c r="B250" s="38" t="s">
        <v>467</v>
      </c>
      <c r="C250" s="29" t="s">
        <v>1139</v>
      </c>
      <c r="D250" s="29" t="s">
        <v>1140</v>
      </c>
      <c r="E250" s="29">
        <v>0</v>
      </c>
      <c r="F250" s="29" t="s">
        <v>1515</v>
      </c>
      <c r="G250" s="29" t="s">
        <v>573</v>
      </c>
      <c r="H250" s="29">
        <v>2024</v>
      </c>
      <c r="I250" s="29" t="s">
        <v>1531</v>
      </c>
      <c r="J250" s="29"/>
      <c r="K250" s="29"/>
      <c r="L250" s="38" t="s">
        <v>1534</v>
      </c>
      <c r="M250" s="29">
        <v>249</v>
      </c>
    </row>
    <row r="251" spans="1:13">
      <c r="A251" s="29">
        <v>250</v>
      </c>
      <c r="B251" s="38" t="s">
        <v>467</v>
      </c>
      <c r="C251" s="29" t="s">
        <v>1141</v>
      </c>
      <c r="D251" s="29" t="s">
        <v>1142</v>
      </c>
      <c r="E251" s="29">
        <v>0</v>
      </c>
      <c r="F251" s="29" t="s">
        <v>1515</v>
      </c>
      <c r="G251" s="29" t="s">
        <v>1143</v>
      </c>
      <c r="H251" s="29">
        <v>2024</v>
      </c>
      <c r="I251" s="29" t="s">
        <v>1531</v>
      </c>
      <c r="J251" s="29"/>
      <c r="K251" s="29"/>
      <c r="L251" s="38" t="s">
        <v>1534</v>
      </c>
      <c r="M251" s="29">
        <v>250</v>
      </c>
    </row>
    <row r="252" spans="1:13">
      <c r="A252" s="29">
        <v>251</v>
      </c>
      <c r="B252" s="38" t="s">
        <v>467</v>
      </c>
      <c r="C252" s="29" t="s">
        <v>1144</v>
      </c>
      <c r="D252" s="29" t="s">
        <v>1145</v>
      </c>
      <c r="E252" s="29">
        <v>0</v>
      </c>
      <c r="F252" s="29" t="s">
        <v>1515</v>
      </c>
      <c r="G252" s="29" t="s">
        <v>997</v>
      </c>
      <c r="H252" s="29">
        <v>2024</v>
      </c>
      <c r="I252" s="29" t="s">
        <v>1531</v>
      </c>
      <c r="J252" s="29"/>
      <c r="K252" s="29"/>
      <c r="L252" s="38" t="s">
        <v>1534</v>
      </c>
      <c r="M252" s="29">
        <v>251</v>
      </c>
    </row>
    <row r="253" spans="1:13">
      <c r="A253" s="29">
        <v>252</v>
      </c>
      <c r="B253" s="38" t="s">
        <v>467</v>
      </c>
      <c r="C253" s="29" t="s">
        <v>1146</v>
      </c>
      <c r="D253" s="29" t="s">
        <v>1147</v>
      </c>
      <c r="E253" s="29">
        <v>0</v>
      </c>
      <c r="F253" s="29" t="s">
        <v>1515</v>
      </c>
      <c r="G253" s="29" t="s">
        <v>1148</v>
      </c>
      <c r="H253" s="29">
        <v>2024</v>
      </c>
      <c r="I253" s="29" t="s">
        <v>1531</v>
      </c>
      <c r="J253" s="29"/>
      <c r="K253" s="29"/>
      <c r="L253" s="38" t="s">
        <v>1534</v>
      </c>
      <c r="M253" s="29">
        <v>252</v>
      </c>
    </row>
    <row r="254" spans="1:13">
      <c r="A254" s="29">
        <v>253</v>
      </c>
      <c r="B254" s="38" t="s">
        <v>467</v>
      </c>
      <c r="C254" s="29" t="s">
        <v>1149</v>
      </c>
      <c r="D254" s="29" t="s">
        <v>1150</v>
      </c>
      <c r="E254" s="29">
        <v>1</v>
      </c>
      <c r="F254" s="29" t="s">
        <v>1515</v>
      </c>
      <c r="G254" s="29" t="s">
        <v>1130</v>
      </c>
      <c r="H254" s="29">
        <v>2024</v>
      </c>
      <c r="I254" s="29" t="s">
        <v>1536</v>
      </c>
      <c r="J254" s="29" t="s">
        <v>1536</v>
      </c>
      <c r="K254" s="29" t="s">
        <v>1536</v>
      </c>
      <c r="L254" s="38"/>
      <c r="M254" s="29">
        <v>253</v>
      </c>
    </row>
    <row r="255" spans="1:13">
      <c r="A255" s="29">
        <v>254</v>
      </c>
      <c r="B255" s="38" t="s">
        <v>467</v>
      </c>
      <c r="C255" s="29" t="s">
        <v>1151</v>
      </c>
      <c r="D255" s="29" t="s">
        <v>1152</v>
      </c>
      <c r="E255" s="29">
        <v>0</v>
      </c>
      <c r="F255" s="29" t="s">
        <v>1515</v>
      </c>
      <c r="G255" s="29" t="s">
        <v>1153</v>
      </c>
      <c r="H255" s="29">
        <v>2024</v>
      </c>
      <c r="I255" s="29" t="s">
        <v>1531</v>
      </c>
      <c r="J255" s="29"/>
      <c r="K255" s="29"/>
      <c r="L255" s="38" t="s">
        <v>1534</v>
      </c>
      <c r="M255" s="29">
        <v>254</v>
      </c>
    </row>
    <row r="256" spans="1:13">
      <c r="A256" s="29">
        <v>255</v>
      </c>
      <c r="B256" s="38" t="s">
        <v>467</v>
      </c>
      <c r="C256" s="29" t="s">
        <v>1154</v>
      </c>
      <c r="D256" s="29" t="s">
        <v>1155</v>
      </c>
      <c r="E256" s="29">
        <v>0</v>
      </c>
      <c r="F256" s="29" t="s">
        <v>1515</v>
      </c>
      <c r="G256" s="29" t="s">
        <v>1156</v>
      </c>
      <c r="H256" s="29">
        <v>2024</v>
      </c>
      <c r="I256" s="29" t="s">
        <v>1531</v>
      </c>
      <c r="J256" s="29"/>
      <c r="K256" s="29"/>
      <c r="L256" s="38" t="s">
        <v>1534</v>
      </c>
      <c r="M256" s="29">
        <v>255</v>
      </c>
    </row>
    <row r="257" spans="1:13">
      <c r="A257" s="29">
        <v>256</v>
      </c>
      <c r="B257" s="38" t="s">
        <v>467</v>
      </c>
      <c r="C257" s="29" t="s">
        <v>1157</v>
      </c>
      <c r="D257" s="29" t="s">
        <v>1158</v>
      </c>
      <c r="E257" s="29">
        <v>0</v>
      </c>
      <c r="F257" s="29" t="s">
        <v>1515</v>
      </c>
      <c r="G257" s="29" t="s">
        <v>1096</v>
      </c>
      <c r="H257" s="29">
        <v>2024</v>
      </c>
      <c r="I257" s="29" t="s">
        <v>1536</v>
      </c>
      <c r="J257" s="29" t="s">
        <v>1531</v>
      </c>
      <c r="K257" s="29"/>
      <c r="L257" s="38" t="s">
        <v>1555</v>
      </c>
      <c r="M257" s="29">
        <v>256</v>
      </c>
    </row>
    <row r="258" spans="1:13">
      <c r="A258" s="29">
        <v>257</v>
      </c>
      <c r="B258" s="38" t="s">
        <v>467</v>
      </c>
      <c r="C258" s="29" t="s">
        <v>1159</v>
      </c>
      <c r="D258" s="29" t="s">
        <v>1160</v>
      </c>
      <c r="E258" s="29">
        <v>0</v>
      </c>
      <c r="F258" s="29" t="s">
        <v>1515</v>
      </c>
      <c r="G258" s="29" t="s">
        <v>1038</v>
      </c>
      <c r="H258" s="29">
        <v>2024</v>
      </c>
      <c r="I258" s="29" t="s">
        <v>1531</v>
      </c>
      <c r="J258" s="29"/>
      <c r="K258" s="29"/>
      <c r="L258" s="38" t="s">
        <v>1534</v>
      </c>
      <c r="M258" s="29">
        <v>257</v>
      </c>
    </row>
    <row r="259" spans="1:13">
      <c r="A259" s="29">
        <v>258</v>
      </c>
      <c r="B259" s="38" t="s">
        <v>467</v>
      </c>
      <c r="C259" s="29" t="s">
        <v>1161</v>
      </c>
      <c r="D259" s="29" t="s">
        <v>1162</v>
      </c>
      <c r="E259" s="29">
        <v>1</v>
      </c>
      <c r="F259" s="29" t="s">
        <v>1515</v>
      </c>
      <c r="G259" s="29" t="s">
        <v>1163</v>
      </c>
      <c r="H259" s="29">
        <v>2024</v>
      </c>
      <c r="I259" s="29" t="s">
        <v>1536</v>
      </c>
      <c r="J259" s="29" t="s">
        <v>1536</v>
      </c>
      <c r="K259" s="29" t="s">
        <v>1536</v>
      </c>
      <c r="L259" s="38"/>
      <c r="M259" s="29">
        <v>258</v>
      </c>
    </row>
    <row r="260" spans="1:13">
      <c r="A260" s="29">
        <v>259</v>
      </c>
      <c r="B260" s="38" t="s">
        <v>467</v>
      </c>
      <c r="C260" s="29" t="s">
        <v>1164</v>
      </c>
      <c r="D260" s="29" t="s">
        <v>1165</v>
      </c>
      <c r="E260" s="29">
        <v>0</v>
      </c>
      <c r="F260" s="29" t="s">
        <v>1515</v>
      </c>
      <c r="G260" s="29" t="s">
        <v>1166</v>
      </c>
      <c r="H260" s="29">
        <v>2024</v>
      </c>
      <c r="I260" s="29" t="s">
        <v>1531</v>
      </c>
      <c r="J260" s="29"/>
      <c r="K260" s="29"/>
      <c r="L260" s="38" t="s">
        <v>1534</v>
      </c>
      <c r="M260" s="29">
        <v>259</v>
      </c>
    </row>
    <row r="261" spans="1:13">
      <c r="A261" s="29">
        <v>260</v>
      </c>
      <c r="B261" s="38" t="s">
        <v>467</v>
      </c>
      <c r="C261" s="29" t="s">
        <v>1167</v>
      </c>
      <c r="D261" s="29" t="s">
        <v>1168</v>
      </c>
      <c r="E261" s="29">
        <v>0</v>
      </c>
      <c r="F261" s="29" t="s">
        <v>1515</v>
      </c>
      <c r="G261" s="29" t="s">
        <v>496</v>
      </c>
      <c r="H261" s="29">
        <v>2024</v>
      </c>
      <c r="I261" s="29" t="s">
        <v>1531</v>
      </c>
      <c r="J261" s="29"/>
      <c r="K261" s="29"/>
      <c r="L261" s="38" t="s">
        <v>1534</v>
      </c>
      <c r="M261" s="29">
        <v>260</v>
      </c>
    </row>
    <row r="262" spans="1:13">
      <c r="A262" s="29">
        <v>261</v>
      </c>
      <c r="B262" s="38" t="s">
        <v>467</v>
      </c>
      <c r="C262" s="29" t="s">
        <v>821</v>
      </c>
      <c r="D262" s="29" t="s">
        <v>1169</v>
      </c>
      <c r="E262" s="29">
        <v>1</v>
      </c>
      <c r="F262" s="29" t="s">
        <v>1515</v>
      </c>
      <c r="G262" s="29" t="s">
        <v>1170</v>
      </c>
      <c r="H262" s="29">
        <v>2024</v>
      </c>
      <c r="I262" s="29" t="s">
        <v>1536</v>
      </c>
      <c r="J262" s="29" t="s">
        <v>1536</v>
      </c>
      <c r="K262" s="29" t="s">
        <v>1536</v>
      </c>
      <c r="L262" s="38"/>
      <c r="M262" s="29">
        <v>261</v>
      </c>
    </row>
    <row r="263" spans="1:13">
      <c r="A263" s="29">
        <v>262</v>
      </c>
      <c r="B263" s="38" t="s">
        <v>467</v>
      </c>
      <c r="C263" s="29" t="s">
        <v>1171</v>
      </c>
      <c r="D263" s="29" t="s">
        <v>1172</v>
      </c>
      <c r="E263" s="29">
        <v>0</v>
      </c>
      <c r="F263" s="29" t="s">
        <v>1515</v>
      </c>
      <c r="G263" s="29" t="s">
        <v>746</v>
      </c>
      <c r="H263" s="29">
        <v>2024</v>
      </c>
      <c r="I263" s="29" t="s">
        <v>1531</v>
      </c>
      <c r="J263" s="29"/>
      <c r="K263" s="29"/>
      <c r="L263" s="38" t="s">
        <v>1534</v>
      </c>
      <c r="M263" s="29">
        <v>262</v>
      </c>
    </row>
    <row r="264" spans="1:13">
      <c r="A264" s="29">
        <v>263</v>
      </c>
      <c r="B264" s="38" t="s">
        <v>467</v>
      </c>
      <c r="C264" s="29" t="s">
        <v>1173</v>
      </c>
      <c r="D264" s="29" t="s">
        <v>1174</v>
      </c>
      <c r="E264" s="29">
        <v>0</v>
      </c>
      <c r="F264" s="29" t="s">
        <v>1515</v>
      </c>
      <c r="G264" s="29" t="s">
        <v>1175</v>
      </c>
      <c r="H264" s="29">
        <v>2024</v>
      </c>
      <c r="I264" s="29" t="s">
        <v>1531</v>
      </c>
      <c r="J264" s="29"/>
      <c r="K264" s="29"/>
      <c r="L264" s="38" t="s">
        <v>1534</v>
      </c>
      <c r="M264" s="29">
        <v>263</v>
      </c>
    </row>
    <row r="265" spans="1:13">
      <c r="A265" s="29">
        <v>264</v>
      </c>
      <c r="B265" s="38" t="s">
        <v>467</v>
      </c>
      <c r="C265" s="29" t="s">
        <v>1176</v>
      </c>
      <c r="D265" s="29" t="s">
        <v>1177</v>
      </c>
      <c r="E265" s="29">
        <v>0</v>
      </c>
      <c r="F265" s="29" t="s">
        <v>1515</v>
      </c>
      <c r="G265" s="29" t="s">
        <v>621</v>
      </c>
      <c r="H265" s="29">
        <v>2024</v>
      </c>
      <c r="I265" s="29" t="s">
        <v>1531</v>
      </c>
      <c r="J265" s="29"/>
      <c r="K265" s="29"/>
      <c r="L265" s="38" t="s">
        <v>1534</v>
      </c>
      <c r="M265" s="29">
        <v>264</v>
      </c>
    </row>
    <row r="266" spans="1:13">
      <c r="A266" s="29">
        <v>265</v>
      </c>
      <c r="B266" s="38" t="s">
        <v>467</v>
      </c>
      <c r="C266" s="29" t="s">
        <v>1178</v>
      </c>
      <c r="D266" s="29" t="s">
        <v>1179</v>
      </c>
      <c r="E266" s="29">
        <v>0</v>
      </c>
      <c r="F266" s="29" t="s">
        <v>1515</v>
      </c>
      <c r="G266" s="29" t="s">
        <v>1180</v>
      </c>
      <c r="H266" s="29">
        <v>2024</v>
      </c>
      <c r="I266" s="29" t="s">
        <v>1531</v>
      </c>
      <c r="J266" s="29"/>
      <c r="K266" s="29"/>
      <c r="L266" s="38" t="s">
        <v>1534</v>
      </c>
      <c r="M266" s="29">
        <v>265</v>
      </c>
    </row>
    <row r="267" spans="1:13">
      <c r="A267" s="29">
        <v>266</v>
      </c>
      <c r="B267" s="38" t="s">
        <v>467</v>
      </c>
      <c r="C267" s="29" t="s">
        <v>1181</v>
      </c>
      <c r="D267" s="29" t="s">
        <v>1596</v>
      </c>
      <c r="E267" s="29">
        <v>0</v>
      </c>
      <c r="F267" s="29" t="s">
        <v>1515</v>
      </c>
      <c r="G267" s="29" t="s">
        <v>746</v>
      </c>
      <c r="H267" s="29">
        <v>2024</v>
      </c>
      <c r="I267" s="29" t="s">
        <v>1531</v>
      </c>
      <c r="J267" s="29"/>
      <c r="K267" s="29"/>
      <c r="L267" s="38" t="s">
        <v>1534</v>
      </c>
      <c r="M267" s="29">
        <v>266</v>
      </c>
    </row>
    <row r="268" spans="1:13">
      <c r="A268" s="29">
        <v>267</v>
      </c>
      <c r="B268" s="38" t="s">
        <v>467</v>
      </c>
      <c r="C268" s="29" t="s">
        <v>1182</v>
      </c>
      <c r="D268" s="29" t="s">
        <v>1183</v>
      </c>
      <c r="E268" s="29">
        <v>0</v>
      </c>
      <c r="F268" s="29" t="s">
        <v>1515</v>
      </c>
      <c r="G268" s="29" t="s">
        <v>1094</v>
      </c>
      <c r="H268" s="29">
        <v>2024</v>
      </c>
      <c r="I268" s="29" t="s">
        <v>1531</v>
      </c>
      <c r="J268" s="29"/>
      <c r="K268" s="29"/>
      <c r="L268" s="38" t="s">
        <v>1534</v>
      </c>
      <c r="M268" s="29">
        <v>267</v>
      </c>
    </row>
    <row r="269" spans="1:13">
      <c r="A269" s="29">
        <v>268</v>
      </c>
      <c r="B269" s="38" t="s">
        <v>467</v>
      </c>
      <c r="C269" s="29" t="s">
        <v>1184</v>
      </c>
      <c r="D269" s="29" t="s">
        <v>1185</v>
      </c>
      <c r="E269" s="29">
        <v>1</v>
      </c>
      <c r="F269" s="29" t="s">
        <v>1515</v>
      </c>
      <c r="G269" s="29" t="s">
        <v>624</v>
      </c>
      <c r="H269" s="29">
        <v>2024</v>
      </c>
      <c r="I269" s="29" t="s">
        <v>1536</v>
      </c>
      <c r="J269" s="29" t="s">
        <v>1536</v>
      </c>
      <c r="K269" s="29" t="s">
        <v>1536</v>
      </c>
      <c r="L269" s="38"/>
      <c r="M269" s="29">
        <v>268</v>
      </c>
    </row>
    <row r="270" spans="1:13">
      <c r="A270" s="29">
        <v>269</v>
      </c>
      <c r="B270" s="38" t="s">
        <v>467</v>
      </c>
      <c r="C270" s="29" t="s">
        <v>1186</v>
      </c>
      <c r="D270" s="29" t="s">
        <v>1187</v>
      </c>
      <c r="E270" s="29">
        <v>0</v>
      </c>
      <c r="F270" s="29" t="s">
        <v>1515</v>
      </c>
      <c r="G270" s="29" t="s">
        <v>1188</v>
      </c>
      <c r="H270" s="29">
        <v>2024</v>
      </c>
      <c r="I270" s="29" t="s">
        <v>1531</v>
      </c>
      <c r="J270" s="29"/>
      <c r="K270" s="29"/>
      <c r="L270" s="38" t="s">
        <v>1534</v>
      </c>
      <c r="M270" s="29">
        <v>269</v>
      </c>
    </row>
    <row r="271" spans="1:13">
      <c r="A271" s="29">
        <v>270</v>
      </c>
      <c r="B271" s="38" t="s">
        <v>467</v>
      </c>
      <c r="C271" s="29" t="s">
        <v>1189</v>
      </c>
      <c r="D271" s="29" t="s">
        <v>1190</v>
      </c>
      <c r="E271" s="29">
        <v>0</v>
      </c>
      <c r="F271" s="29" t="s">
        <v>1515</v>
      </c>
      <c r="G271" s="29" t="s">
        <v>746</v>
      </c>
      <c r="H271" s="29">
        <v>2024</v>
      </c>
      <c r="I271" s="29" t="s">
        <v>1531</v>
      </c>
      <c r="J271" s="29"/>
      <c r="K271" s="29"/>
      <c r="L271" s="38" t="s">
        <v>1534</v>
      </c>
      <c r="M271" s="29">
        <v>270</v>
      </c>
    </row>
    <row r="272" spans="1:13">
      <c r="A272" s="29">
        <v>271</v>
      </c>
      <c r="B272" s="38" t="s">
        <v>467</v>
      </c>
      <c r="C272" s="29" t="s">
        <v>1191</v>
      </c>
      <c r="D272" s="29" t="s">
        <v>1192</v>
      </c>
      <c r="E272" s="29">
        <v>1</v>
      </c>
      <c r="F272" s="29" t="s">
        <v>1515</v>
      </c>
      <c r="G272" s="29" t="s">
        <v>1193</v>
      </c>
      <c r="H272" s="29">
        <v>2024</v>
      </c>
      <c r="I272" s="29" t="s">
        <v>1536</v>
      </c>
      <c r="J272" s="29" t="s">
        <v>1536</v>
      </c>
      <c r="K272" s="29" t="s">
        <v>1536</v>
      </c>
      <c r="L272" s="38"/>
      <c r="M272" s="29">
        <v>271</v>
      </c>
    </row>
    <row r="273" spans="1:13">
      <c r="A273" s="29">
        <v>272</v>
      </c>
      <c r="B273" s="38" t="s">
        <v>467</v>
      </c>
      <c r="C273" s="29" t="s">
        <v>1194</v>
      </c>
      <c r="D273" s="29" t="s">
        <v>1195</v>
      </c>
      <c r="E273" s="29">
        <v>0</v>
      </c>
      <c r="F273" s="29" t="s">
        <v>1515</v>
      </c>
      <c r="G273" s="29" t="s">
        <v>1196</v>
      </c>
      <c r="H273" s="29">
        <v>2024</v>
      </c>
      <c r="I273" s="29" t="s">
        <v>1531</v>
      </c>
      <c r="J273" s="29"/>
      <c r="K273" s="29"/>
      <c r="L273" s="38" t="s">
        <v>1534</v>
      </c>
      <c r="M273" s="29">
        <v>272</v>
      </c>
    </row>
    <row r="274" spans="1:13">
      <c r="A274" s="29">
        <v>273</v>
      </c>
      <c r="B274" s="38" t="s">
        <v>467</v>
      </c>
      <c r="C274" s="29" t="s">
        <v>1197</v>
      </c>
      <c r="D274" s="29" t="s">
        <v>1198</v>
      </c>
      <c r="E274" s="29">
        <v>0</v>
      </c>
      <c r="F274" s="29" t="s">
        <v>1515</v>
      </c>
      <c r="G274" s="29" t="s">
        <v>588</v>
      </c>
      <c r="H274" s="29">
        <v>2024</v>
      </c>
      <c r="I274" s="29" t="s">
        <v>1531</v>
      </c>
      <c r="J274" s="29"/>
      <c r="K274" s="29"/>
      <c r="L274" s="38" t="s">
        <v>1534</v>
      </c>
      <c r="M274" s="29">
        <v>273</v>
      </c>
    </row>
    <row r="275" spans="1:13">
      <c r="A275" s="29">
        <v>274</v>
      </c>
      <c r="B275" s="38" t="s">
        <v>467</v>
      </c>
      <c r="C275" s="29" t="s">
        <v>1199</v>
      </c>
      <c r="D275" s="29" t="s">
        <v>1200</v>
      </c>
      <c r="E275" s="29">
        <v>1</v>
      </c>
      <c r="F275" s="29" t="s">
        <v>1515</v>
      </c>
      <c r="G275" s="29" t="s">
        <v>1096</v>
      </c>
      <c r="H275" s="29">
        <v>2024</v>
      </c>
      <c r="I275" s="29" t="s">
        <v>1536</v>
      </c>
      <c r="J275" s="29" t="s">
        <v>1536</v>
      </c>
      <c r="K275" s="29" t="s">
        <v>1536</v>
      </c>
      <c r="L275" s="38"/>
      <c r="M275" s="29">
        <v>274</v>
      </c>
    </row>
    <row r="276" spans="1:13">
      <c r="A276" s="29">
        <v>275</v>
      </c>
      <c r="B276" s="38" t="s">
        <v>467</v>
      </c>
      <c r="C276" s="29" t="s">
        <v>1201</v>
      </c>
      <c r="D276" s="29" t="s">
        <v>1202</v>
      </c>
      <c r="E276" s="29">
        <v>0</v>
      </c>
      <c r="F276" s="29" t="s">
        <v>1515</v>
      </c>
      <c r="G276" s="29" t="s">
        <v>1203</v>
      </c>
      <c r="H276" s="29">
        <v>2024</v>
      </c>
      <c r="I276" s="29" t="s">
        <v>1531</v>
      </c>
      <c r="J276" s="29"/>
      <c r="K276" s="29"/>
      <c r="L276" s="38" t="s">
        <v>1534</v>
      </c>
      <c r="M276" s="29">
        <v>275</v>
      </c>
    </row>
    <row r="277" spans="1:13">
      <c r="A277" s="29">
        <v>276</v>
      </c>
      <c r="B277" s="38" t="s">
        <v>467</v>
      </c>
      <c r="C277" s="29" t="s">
        <v>1204</v>
      </c>
      <c r="D277" s="29" t="s">
        <v>1205</v>
      </c>
      <c r="E277" s="29">
        <v>0</v>
      </c>
      <c r="F277" s="29" t="s">
        <v>1515</v>
      </c>
      <c r="G277" s="29" t="s">
        <v>1206</v>
      </c>
      <c r="H277" s="29">
        <v>2024</v>
      </c>
      <c r="I277" s="29" t="s">
        <v>1531</v>
      </c>
      <c r="J277" s="29"/>
      <c r="K277" s="29"/>
      <c r="L277" s="38" t="s">
        <v>1534</v>
      </c>
      <c r="M277" s="29">
        <v>276</v>
      </c>
    </row>
    <row r="278" spans="1:13">
      <c r="A278" s="29">
        <v>277</v>
      </c>
      <c r="B278" s="38" t="s">
        <v>467</v>
      </c>
      <c r="C278" s="29" t="s">
        <v>1207</v>
      </c>
      <c r="D278" s="29" t="s">
        <v>1208</v>
      </c>
      <c r="E278" s="29">
        <v>0</v>
      </c>
      <c r="F278" s="29" t="s">
        <v>1515</v>
      </c>
      <c r="G278" s="29" t="s">
        <v>1209</v>
      </c>
      <c r="H278" s="29">
        <v>2024</v>
      </c>
      <c r="I278" s="29" t="s">
        <v>1531</v>
      </c>
      <c r="J278" s="29"/>
      <c r="K278" s="29"/>
      <c r="L278" s="38" t="s">
        <v>1534</v>
      </c>
      <c r="M278" s="29">
        <v>277</v>
      </c>
    </row>
    <row r="279" spans="1:13">
      <c r="A279" s="29">
        <v>278</v>
      </c>
      <c r="B279" s="38" t="s">
        <v>467</v>
      </c>
      <c r="C279" s="29" t="s">
        <v>1210</v>
      </c>
      <c r="D279" s="29" t="s">
        <v>1211</v>
      </c>
      <c r="E279" s="29">
        <v>0</v>
      </c>
      <c r="F279" s="29" t="s">
        <v>1515</v>
      </c>
      <c r="G279" s="29" t="s">
        <v>1212</v>
      </c>
      <c r="H279" s="29">
        <v>2024</v>
      </c>
      <c r="I279" s="29" t="s">
        <v>1531</v>
      </c>
      <c r="J279" s="29"/>
      <c r="K279" s="29"/>
      <c r="L279" s="38" t="s">
        <v>1534</v>
      </c>
      <c r="M279" s="29">
        <v>278</v>
      </c>
    </row>
    <row r="280" spans="1:13">
      <c r="A280" s="29">
        <v>279</v>
      </c>
      <c r="B280" s="38" t="s">
        <v>467</v>
      </c>
      <c r="C280" s="29" t="s">
        <v>1213</v>
      </c>
      <c r="D280" s="29" t="s">
        <v>1214</v>
      </c>
      <c r="E280" s="29">
        <v>0</v>
      </c>
      <c r="F280" s="29" t="s">
        <v>1515</v>
      </c>
      <c r="G280" s="29" t="s">
        <v>766</v>
      </c>
      <c r="H280" s="29">
        <v>2024</v>
      </c>
      <c r="I280" s="29" t="s">
        <v>1531</v>
      </c>
      <c r="J280" s="29"/>
      <c r="K280" s="29"/>
      <c r="L280" s="38" t="s">
        <v>1534</v>
      </c>
      <c r="M280" s="29">
        <v>279</v>
      </c>
    </row>
    <row r="281" spans="1:13">
      <c r="A281" s="29">
        <v>280</v>
      </c>
      <c r="B281" s="38" t="s">
        <v>467</v>
      </c>
      <c r="C281" s="29" t="s">
        <v>1215</v>
      </c>
      <c r="D281" s="29" t="s">
        <v>1216</v>
      </c>
      <c r="E281" s="29">
        <v>0</v>
      </c>
      <c r="F281" s="29" t="s">
        <v>1515</v>
      </c>
      <c r="G281" s="29" t="s">
        <v>1217</v>
      </c>
      <c r="H281" s="29">
        <v>2024</v>
      </c>
      <c r="I281" s="29" t="s">
        <v>1531</v>
      </c>
      <c r="J281" s="29"/>
      <c r="K281" s="29"/>
      <c r="L281" s="38" t="s">
        <v>1534</v>
      </c>
      <c r="M281" s="29">
        <v>280</v>
      </c>
    </row>
    <row r="282" spans="1:13">
      <c r="A282" s="29">
        <v>281</v>
      </c>
      <c r="B282" s="38" t="s">
        <v>467</v>
      </c>
      <c r="C282" s="29" t="s">
        <v>1218</v>
      </c>
      <c r="D282" s="29" t="s">
        <v>1219</v>
      </c>
      <c r="E282" s="29">
        <v>0</v>
      </c>
      <c r="F282" s="29" t="s">
        <v>1515</v>
      </c>
      <c r="G282" s="29" t="s">
        <v>1038</v>
      </c>
      <c r="H282" s="29">
        <v>2024</v>
      </c>
      <c r="I282" s="29" t="s">
        <v>1536</v>
      </c>
      <c r="J282" s="29" t="s">
        <v>1536</v>
      </c>
      <c r="K282" s="29" t="s">
        <v>1531</v>
      </c>
      <c r="L282" s="38" t="s">
        <v>1597</v>
      </c>
      <c r="M282" s="29">
        <v>281</v>
      </c>
    </row>
    <row r="283" spans="1:13">
      <c r="A283" s="29">
        <v>282</v>
      </c>
      <c r="B283" s="38" t="s">
        <v>467</v>
      </c>
      <c r="C283" s="29" t="s">
        <v>1220</v>
      </c>
      <c r="D283" s="29" t="s">
        <v>1221</v>
      </c>
      <c r="E283" s="29">
        <v>0</v>
      </c>
      <c r="F283" s="29" t="s">
        <v>1515</v>
      </c>
      <c r="G283" s="29" t="s">
        <v>588</v>
      </c>
      <c r="H283" s="29">
        <v>2024</v>
      </c>
      <c r="I283" s="29" t="s">
        <v>1531</v>
      </c>
      <c r="J283" s="29"/>
      <c r="K283" s="29"/>
      <c r="L283" s="38" t="s">
        <v>1534</v>
      </c>
      <c r="M283" s="29">
        <v>282</v>
      </c>
    </row>
    <row r="284" spans="1:13">
      <c r="A284" s="29">
        <v>283</v>
      </c>
      <c r="B284" s="38" t="s">
        <v>467</v>
      </c>
      <c r="C284" s="29" t="s">
        <v>1222</v>
      </c>
      <c r="D284" s="29" t="s">
        <v>1223</v>
      </c>
      <c r="E284" s="29">
        <v>0</v>
      </c>
      <c r="F284" s="29" t="s">
        <v>1515</v>
      </c>
      <c r="G284" s="29" t="s">
        <v>738</v>
      </c>
      <c r="H284" s="29">
        <v>2024</v>
      </c>
      <c r="I284" s="29" t="s">
        <v>1531</v>
      </c>
      <c r="J284" s="29"/>
      <c r="K284" s="29"/>
      <c r="L284" s="38" t="s">
        <v>1534</v>
      </c>
      <c r="M284" s="29">
        <v>283</v>
      </c>
    </row>
    <row r="285" spans="1:13">
      <c r="A285" s="29">
        <v>284</v>
      </c>
      <c r="B285" s="38" t="s">
        <v>467</v>
      </c>
      <c r="C285" s="29" t="s">
        <v>1224</v>
      </c>
      <c r="D285" s="29" t="s">
        <v>1225</v>
      </c>
      <c r="E285" s="29">
        <v>0</v>
      </c>
      <c r="F285" s="29" t="s">
        <v>1515</v>
      </c>
      <c r="G285" s="29" t="s">
        <v>1226</v>
      </c>
      <c r="H285" s="29">
        <v>2024</v>
      </c>
      <c r="I285" s="29" t="s">
        <v>1536</v>
      </c>
      <c r="J285" s="29" t="s">
        <v>1531</v>
      </c>
      <c r="K285" s="29"/>
      <c r="L285" s="38" t="s">
        <v>1555</v>
      </c>
      <c r="M285" s="29">
        <v>284</v>
      </c>
    </row>
    <row r="286" spans="1:13">
      <c r="A286" s="29">
        <v>285</v>
      </c>
      <c r="B286" s="38" t="s">
        <v>467</v>
      </c>
      <c r="C286" s="29" t="s">
        <v>1227</v>
      </c>
      <c r="D286" s="29" t="s">
        <v>1228</v>
      </c>
      <c r="E286" s="29">
        <v>0</v>
      </c>
      <c r="F286" s="29" t="s">
        <v>1515</v>
      </c>
      <c r="G286" s="29" t="s">
        <v>1229</v>
      </c>
      <c r="H286" s="29">
        <v>2024</v>
      </c>
      <c r="I286" s="29" t="s">
        <v>1531</v>
      </c>
      <c r="J286" s="29"/>
      <c r="K286" s="29"/>
      <c r="L286" s="38" t="s">
        <v>1534</v>
      </c>
      <c r="M286" s="29">
        <v>285</v>
      </c>
    </row>
    <row r="287" spans="1:13">
      <c r="A287" s="29">
        <v>286</v>
      </c>
      <c r="B287" s="38" t="s">
        <v>467</v>
      </c>
      <c r="C287" s="29" t="s">
        <v>1230</v>
      </c>
      <c r="D287" s="29" t="s">
        <v>1231</v>
      </c>
      <c r="E287" s="29">
        <v>0</v>
      </c>
      <c r="F287" s="29" t="s">
        <v>1515</v>
      </c>
      <c r="G287" s="29" t="s">
        <v>621</v>
      </c>
      <c r="H287" s="29">
        <v>2024</v>
      </c>
      <c r="I287" s="29" t="s">
        <v>1531</v>
      </c>
      <c r="J287" s="29"/>
      <c r="K287" s="29"/>
      <c r="L287" s="38" t="s">
        <v>1534</v>
      </c>
      <c r="M287" s="29">
        <v>286</v>
      </c>
    </row>
    <row r="288" spans="1:13">
      <c r="A288" s="29">
        <v>287</v>
      </c>
      <c r="B288" s="38" t="s">
        <v>467</v>
      </c>
      <c r="C288" s="29" t="s">
        <v>1232</v>
      </c>
      <c r="D288" s="29" t="s">
        <v>1233</v>
      </c>
      <c r="E288" s="29">
        <v>0</v>
      </c>
      <c r="F288" s="29" t="s">
        <v>1515</v>
      </c>
      <c r="G288" s="29" t="s">
        <v>1234</v>
      </c>
      <c r="H288" s="29">
        <v>2024</v>
      </c>
      <c r="I288" s="29" t="s">
        <v>1531</v>
      </c>
      <c r="J288" s="29"/>
      <c r="K288" s="29"/>
      <c r="L288" s="38" t="s">
        <v>1534</v>
      </c>
      <c r="M288" s="29">
        <v>287</v>
      </c>
    </row>
    <row r="289" spans="1:13">
      <c r="A289" s="29">
        <v>288</v>
      </c>
      <c r="B289" s="38" t="s">
        <v>467</v>
      </c>
      <c r="C289" s="29" t="s">
        <v>1235</v>
      </c>
      <c r="D289" s="29" t="s">
        <v>1236</v>
      </c>
      <c r="E289" s="29">
        <v>0</v>
      </c>
      <c r="F289" s="29" t="s">
        <v>1516</v>
      </c>
      <c r="G289" s="29" t="s">
        <v>1237</v>
      </c>
      <c r="H289" s="29">
        <v>2024</v>
      </c>
      <c r="I289" s="29" t="s">
        <v>1531</v>
      </c>
      <c r="J289" s="29"/>
      <c r="K289" s="29"/>
      <c r="L289" s="38" t="s">
        <v>1532</v>
      </c>
      <c r="M289" s="29">
        <v>288</v>
      </c>
    </row>
    <row r="290" spans="1:13">
      <c r="A290" s="29">
        <v>289</v>
      </c>
      <c r="B290" s="38" t="s">
        <v>467</v>
      </c>
      <c r="C290" s="29" t="s">
        <v>1238</v>
      </c>
      <c r="D290" s="29" t="s">
        <v>1239</v>
      </c>
      <c r="E290" s="29">
        <v>0</v>
      </c>
      <c r="F290" s="29" t="s">
        <v>1515</v>
      </c>
      <c r="G290" s="29" t="s">
        <v>1038</v>
      </c>
      <c r="H290" s="29">
        <v>2024</v>
      </c>
      <c r="I290" s="29" t="s">
        <v>1531</v>
      </c>
      <c r="J290" s="29"/>
      <c r="K290" s="29"/>
      <c r="L290" s="38" t="s">
        <v>1534</v>
      </c>
      <c r="M290" s="29">
        <v>289</v>
      </c>
    </row>
    <row r="291" spans="1:13">
      <c r="A291" s="29">
        <v>290</v>
      </c>
      <c r="B291" s="38" t="s">
        <v>467</v>
      </c>
      <c r="C291" s="29" t="s">
        <v>1240</v>
      </c>
      <c r="D291" s="29" t="s">
        <v>1241</v>
      </c>
      <c r="E291" s="29">
        <v>0</v>
      </c>
      <c r="F291" s="29" t="s">
        <v>1515</v>
      </c>
      <c r="G291" s="29" t="s">
        <v>1242</v>
      </c>
      <c r="H291" s="29">
        <v>2024</v>
      </c>
      <c r="I291" s="29" t="s">
        <v>1531</v>
      </c>
      <c r="J291" s="29"/>
      <c r="K291" s="29"/>
      <c r="L291" s="38" t="s">
        <v>1534</v>
      </c>
      <c r="M291" s="29">
        <v>290</v>
      </c>
    </row>
    <row r="292" spans="1:13">
      <c r="A292" s="29">
        <v>291</v>
      </c>
      <c r="B292" s="38" t="s">
        <v>467</v>
      </c>
      <c r="C292" s="29" t="s">
        <v>1243</v>
      </c>
      <c r="D292" s="29" t="s">
        <v>1244</v>
      </c>
      <c r="E292" s="29">
        <v>0</v>
      </c>
      <c r="F292" s="29" t="s">
        <v>1515</v>
      </c>
      <c r="G292" s="29" t="s">
        <v>1245</v>
      </c>
      <c r="H292" s="29">
        <v>2024</v>
      </c>
      <c r="I292" s="29" t="s">
        <v>1531</v>
      </c>
      <c r="J292" s="29"/>
      <c r="K292" s="29"/>
      <c r="L292" s="38" t="s">
        <v>1534</v>
      </c>
      <c r="M292" s="29">
        <v>291</v>
      </c>
    </row>
    <row r="293" spans="1:13">
      <c r="A293" s="29">
        <v>292</v>
      </c>
      <c r="B293" s="38" t="s">
        <v>467</v>
      </c>
      <c r="C293" s="29" t="s">
        <v>1246</v>
      </c>
      <c r="D293" s="29" t="s">
        <v>1247</v>
      </c>
      <c r="E293" s="29">
        <v>0</v>
      </c>
      <c r="F293" s="29" t="s">
        <v>1515</v>
      </c>
      <c r="G293" s="29" t="s">
        <v>1248</v>
      </c>
      <c r="H293" s="29">
        <v>2024</v>
      </c>
      <c r="I293" s="29" t="s">
        <v>1531</v>
      </c>
      <c r="J293" s="29"/>
      <c r="K293" s="29"/>
      <c r="L293" s="38" t="s">
        <v>1534</v>
      </c>
      <c r="M293" s="29">
        <v>292</v>
      </c>
    </row>
    <row r="294" spans="1:13">
      <c r="A294" s="29">
        <v>293</v>
      </c>
      <c r="B294" s="38" t="s">
        <v>467</v>
      </c>
      <c r="C294" s="29" t="s">
        <v>1249</v>
      </c>
      <c r="D294" s="29" t="s">
        <v>1250</v>
      </c>
      <c r="E294" s="29">
        <v>0</v>
      </c>
      <c r="F294" s="29" t="s">
        <v>1515</v>
      </c>
      <c r="G294" s="29" t="s">
        <v>1251</v>
      </c>
      <c r="H294" s="29">
        <v>2024</v>
      </c>
      <c r="I294" s="29" t="s">
        <v>1531</v>
      </c>
      <c r="J294" s="29"/>
      <c r="K294" s="29"/>
      <c r="L294" s="38" t="s">
        <v>1534</v>
      </c>
      <c r="M294" s="29">
        <v>293</v>
      </c>
    </row>
    <row r="295" spans="1:13">
      <c r="A295" s="29">
        <v>294</v>
      </c>
      <c r="B295" s="38" t="s">
        <v>467</v>
      </c>
      <c r="C295" s="29" t="s">
        <v>1252</v>
      </c>
      <c r="D295" s="29" t="s">
        <v>1253</v>
      </c>
      <c r="E295" s="29">
        <v>0</v>
      </c>
      <c r="F295" s="29" t="s">
        <v>1515</v>
      </c>
      <c r="G295" s="29" t="s">
        <v>588</v>
      </c>
      <c r="H295" s="29">
        <v>2024</v>
      </c>
      <c r="I295" s="29" t="s">
        <v>1531</v>
      </c>
      <c r="J295" s="29"/>
      <c r="K295" s="29"/>
      <c r="L295" s="38" t="s">
        <v>1534</v>
      </c>
      <c r="M295" s="29">
        <v>294</v>
      </c>
    </row>
    <row r="296" spans="1:13">
      <c r="A296" s="29">
        <v>295</v>
      </c>
      <c r="B296" s="38" t="s">
        <v>467</v>
      </c>
      <c r="C296" s="29" t="s">
        <v>1254</v>
      </c>
      <c r="D296" s="29" t="s">
        <v>1255</v>
      </c>
      <c r="E296" s="29">
        <v>0</v>
      </c>
      <c r="F296" s="29" t="s">
        <v>1515</v>
      </c>
      <c r="G296" s="29" t="s">
        <v>1256</v>
      </c>
      <c r="H296" s="29">
        <v>2024</v>
      </c>
      <c r="I296" s="29" t="s">
        <v>1531</v>
      </c>
      <c r="J296" s="29"/>
      <c r="K296" s="29"/>
      <c r="L296" s="38" t="s">
        <v>1534</v>
      </c>
      <c r="M296" s="29">
        <v>295</v>
      </c>
    </row>
    <row r="297" spans="1:13">
      <c r="A297" s="29">
        <v>296</v>
      </c>
      <c r="B297" s="38" t="s">
        <v>467</v>
      </c>
      <c r="C297" s="29" t="s">
        <v>1257</v>
      </c>
      <c r="D297" s="29" t="s">
        <v>1258</v>
      </c>
      <c r="E297" s="29">
        <v>0</v>
      </c>
      <c r="F297" s="29" t="s">
        <v>1515</v>
      </c>
      <c r="G297" s="29" t="s">
        <v>1245</v>
      </c>
      <c r="H297" s="29">
        <v>2024</v>
      </c>
      <c r="I297" s="29" t="s">
        <v>1531</v>
      </c>
      <c r="J297" s="29"/>
      <c r="K297" s="29"/>
      <c r="L297" s="38" t="s">
        <v>1534</v>
      </c>
      <c r="M297" s="29">
        <v>296</v>
      </c>
    </row>
    <row r="298" spans="1:13">
      <c r="A298" s="29">
        <v>297</v>
      </c>
      <c r="B298" s="38" t="s">
        <v>467</v>
      </c>
      <c r="C298" s="29" t="s">
        <v>1259</v>
      </c>
      <c r="D298" s="29" t="s">
        <v>1260</v>
      </c>
      <c r="E298" s="29">
        <v>0</v>
      </c>
      <c r="F298" s="29" t="s">
        <v>1515</v>
      </c>
      <c r="G298" s="29" t="s">
        <v>1245</v>
      </c>
      <c r="H298" s="29">
        <v>2024</v>
      </c>
      <c r="I298" s="29" t="s">
        <v>1531</v>
      </c>
      <c r="J298" s="29"/>
      <c r="K298" s="29"/>
      <c r="L298" s="38" t="s">
        <v>1534</v>
      </c>
      <c r="M298" s="29">
        <v>297</v>
      </c>
    </row>
    <row r="299" spans="1:13">
      <c r="A299" s="29">
        <v>298</v>
      </c>
      <c r="B299" s="38" t="s">
        <v>467</v>
      </c>
      <c r="C299" s="29" t="s">
        <v>1261</v>
      </c>
      <c r="D299" s="29" t="s">
        <v>1262</v>
      </c>
      <c r="E299" s="29">
        <v>0</v>
      </c>
      <c r="F299" s="29" t="s">
        <v>1515</v>
      </c>
      <c r="G299" s="29" t="s">
        <v>1263</v>
      </c>
      <c r="H299" s="29">
        <v>2024</v>
      </c>
      <c r="I299" s="29" t="s">
        <v>1531</v>
      </c>
      <c r="J299" s="29"/>
      <c r="K299" s="29"/>
      <c r="L299" s="38" t="s">
        <v>1534</v>
      </c>
      <c r="M299" s="29">
        <v>298</v>
      </c>
    </row>
    <row r="300" spans="1:13">
      <c r="A300" s="29">
        <v>299</v>
      </c>
      <c r="B300" s="38" t="s">
        <v>467</v>
      </c>
      <c r="C300" s="29" t="s">
        <v>1264</v>
      </c>
      <c r="D300" s="29" t="s">
        <v>1265</v>
      </c>
      <c r="E300" s="29">
        <v>1</v>
      </c>
      <c r="F300" s="29" t="s">
        <v>1515</v>
      </c>
      <c r="G300" s="29" t="s">
        <v>1266</v>
      </c>
      <c r="H300" s="29">
        <v>2024</v>
      </c>
      <c r="I300" s="29" t="s">
        <v>1536</v>
      </c>
      <c r="J300" s="29" t="s">
        <v>1536</v>
      </c>
      <c r="K300" s="29" t="s">
        <v>1536</v>
      </c>
      <c r="L300" s="38"/>
      <c r="M300" s="29">
        <v>299</v>
      </c>
    </row>
    <row r="301" spans="1:13">
      <c r="A301" s="29">
        <v>300</v>
      </c>
      <c r="B301" s="38" t="s">
        <v>467</v>
      </c>
      <c r="C301" s="29" t="s">
        <v>1267</v>
      </c>
      <c r="D301" s="29" t="s">
        <v>1268</v>
      </c>
      <c r="E301" s="29">
        <v>0</v>
      </c>
      <c r="F301" s="29" t="s">
        <v>1515</v>
      </c>
      <c r="G301" s="29" t="s">
        <v>1269</v>
      </c>
      <c r="H301" s="29">
        <v>2024</v>
      </c>
      <c r="I301" s="29" t="s">
        <v>1531</v>
      </c>
      <c r="J301" s="29"/>
      <c r="K301" s="29"/>
      <c r="L301" s="38" t="s">
        <v>1534</v>
      </c>
      <c r="M301" s="29">
        <v>300</v>
      </c>
    </row>
    <row r="302" spans="1:13">
      <c r="A302" s="29">
        <v>301</v>
      </c>
      <c r="B302" s="38" t="s">
        <v>467</v>
      </c>
      <c r="C302" s="29" t="s">
        <v>1270</v>
      </c>
      <c r="D302" s="29" t="s">
        <v>1271</v>
      </c>
      <c r="E302" s="29">
        <v>0</v>
      </c>
      <c r="F302" s="29" t="s">
        <v>1515</v>
      </c>
      <c r="G302" s="29" t="s">
        <v>1272</v>
      </c>
      <c r="H302" s="29">
        <v>2024</v>
      </c>
      <c r="I302" s="29" t="s">
        <v>1531</v>
      </c>
      <c r="J302" s="29"/>
      <c r="K302" s="29"/>
      <c r="L302" s="38" t="s">
        <v>1534</v>
      </c>
      <c r="M302" s="29">
        <v>301</v>
      </c>
    </row>
    <row r="303" spans="1:13">
      <c r="A303" s="29">
        <v>302</v>
      </c>
      <c r="B303" s="38" t="s">
        <v>467</v>
      </c>
      <c r="C303" s="29" t="s">
        <v>1273</v>
      </c>
      <c r="D303" s="29" t="s">
        <v>1274</v>
      </c>
      <c r="E303" s="29">
        <v>0</v>
      </c>
      <c r="F303" s="29" t="s">
        <v>1515</v>
      </c>
      <c r="G303" s="29" t="s">
        <v>1038</v>
      </c>
      <c r="H303" s="29">
        <v>2024</v>
      </c>
      <c r="I303" s="29" t="s">
        <v>1531</v>
      </c>
      <c r="J303" s="29"/>
      <c r="K303" s="29"/>
      <c r="L303" s="38" t="s">
        <v>1534</v>
      </c>
      <c r="M303" s="29">
        <v>302</v>
      </c>
    </row>
    <row r="304" spans="1:13" ht="26.4">
      <c r="A304" s="29">
        <v>303</v>
      </c>
      <c r="B304" s="38" t="s">
        <v>467</v>
      </c>
      <c r="C304" s="29" t="s">
        <v>1275</v>
      </c>
      <c r="D304" s="29" t="s">
        <v>1276</v>
      </c>
      <c r="E304" s="29">
        <v>0</v>
      </c>
      <c r="F304" s="29" t="s">
        <v>1515</v>
      </c>
      <c r="G304" s="29" t="s">
        <v>746</v>
      </c>
      <c r="H304" s="29">
        <v>2024</v>
      </c>
      <c r="I304" s="29" t="s">
        <v>1536</v>
      </c>
      <c r="J304" s="29" t="s">
        <v>1536</v>
      </c>
      <c r="K304" s="29" t="s">
        <v>1531</v>
      </c>
      <c r="L304" s="38" t="s">
        <v>1598</v>
      </c>
      <c r="M304" s="29">
        <v>303</v>
      </c>
    </row>
    <row r="305" spans="1:13">
      <c r="A305" s="29">
        <v>304</v>
      </c>
      <c r="B305" s="38" t="s">
        <v>467</v>
      </c>
      <c r="C305" s="29" t="s">
        <v>1277</v>
      </c>
      <c r="D305" s="29" t="s">
        <v>1278</v>
      </c>
      <c r="E305" s="29">
        <v>0</v>
      </c>
      <c r="F305" s="29" t="s">
        <v>1515</v>
      </c>
      <c r="G305" s="29" t="s">
        <v>1279</v>
      </c>
      <c r="H305" s="29">
        <v>2024</v>
      </c>
      <c r="I305" s="29" t="s">
        <v>1531</v>
      </c>
      <c r="J305" s="29"/>
      <c r="K305" s="29"/>
      <c r="L305" s="38" t="s">
        <v>1534</v>
      </c>
      <c r="M305" s="29">
        <v>304</v>
      </c>
    </row>
    <row r="306" spans="1:13">
      <c r="A306" s="29">
        <v>305</v>
      </c>
      <c r="B306" s="38" t="s">
        <v>467</v>
      </c>
      <c r="C306" s="29" t="s">
        <v>1280</v>
      </c>
      <c r="D306" s="29" t="s">
        <v>1281</v>
      </c>
      <c r="E306" s="29">
        <v>0</v>
      </c>
      <c r="F306" s="29" t="s">
        <v>1515</v>
      </c>
      <c r="G306" s="29" t="s">
        <v>1282</v>
      </c>
      <c r="H306" s="29">
        <v>2024</v>
      </c>
      <c r="I306" s="29" t="s">
        <v>1531</v>
      </c>
      <c r="J306" s="29"/>
      <c r="K306" s="29"/>
      <c r="L306" s="38" t="s">
        <v>1534</v>
      </c>
      <c r="M306" s="29">
        <v>305</v>
      </c>
    </row>
    <row r="307" spans="1:13">
      <c r="A307" s="29">
        <v>306</v>
      </c>
      <c r="B307" s="38" t="s">
        <v>467</v>
      </c>
      <c r="C307" s="29" t="s">
        <v>1283</v>
      </c>
      <c r="D307" s="29" t="s">
        <v>1284</v>
      </c>
      <c r="E307" s="29">
        <v>0</v>
      </c>
      <c r="F307" s="29" t="s">
        <v>1515</v>
      </c>
      <c r="G307" s="29" t="s">
        <v>766</v>
      </c>
      <c r="H307" s="29">
        <v>2024</v>
      </c>
      <c r="I307" s="29" t="s">
        <v>1531</v>
      </c>
      <c r="J307" s="29"/>
      <c r="K307" s="29"/>
      <c r="L307" s="38" t="s">
        <v>1534</v>
      </c>
      <c r="M307" s="29">
        <v>306</v>
      </c>
    </row>
    <row r="308" spans="1:13" ht="26.4">
      <c r="A308" s="29">
        <v>307</v>
      </c>
      <c r="B308" s="38" t="s">
        <v>467</v>
      </c>
      <c r="C308" s="29" t="s">
        <v>1285</v>
      </c>
      <c r="D308" s="29" t="s">
        <v>1599</v>
      </c>
      <c r="E308" s="29">
        <v>0</v>
      </c>
      <c r="F308" s="29" t="s">
        <v>1515</v>
      </c>
      <c r="G308" s="29" t="s">
        <v>1286</v>
      </c>
      <c r="H308" s="29">
        <v>2024</v>
      </c>
      <c r="I308" s="29" t="s">
        <v>1536</v>
      </c>
      <c r="J308" s="29" t="s">
        <v>1531</v>
      </c>
      <c r="K308" s="29"/>
      <c r="L308" s="38" t="s">
        <v>1600</v>
      </c>
      <c r="M308" s="29">
        <v>307</v>
      </c>
    </row>
    <row r="309" spans="1:13">
      <c r="A309" s="29">
        <v>308</v>
      </c>
      <c r="B309" s="38" t="s">
        <v>467</v>
      </c>
      <c r="C309" s="29" t="s">
        <v>1287</v>
      </c>
      <c r="D309" s="29" t="s">
        <v>1288</v>
      </c>
      <c r="E309" s="29">
        <v>0</v>
      </c>
      <c r="F309" s="29" t="s">
        <v>1515</v>
      </c>
      <c r="G309" s="29" t="s">
        <v>1289</v>
      </c>
      <c r="H309" s="29">
        <v>2024</v>
      </c>
      <c r="I309" s="29" t="s">
        <v>1531</v>
      </c>
      <c r="J309" s="29"/>
      <c r="K309" s="29"/>
      <c r="L309" s="38" t="s">
        <v>1534</v>
      </c>
      <c r="M309" s="29">
        <v>308</v>
      </c>
    </row>
    <row r="310" spans="1:13">
      <c r="A310" s="29">
        <v>309</v>
      </c>
      <c r="B310" s="38" t="s">
        <v>467</v>
      </c>
      <c r="C310" s="29" t="s">
        <v>1290</v>
      </c>
      <c r="D310" s="29" t="s">
        <v>1291</v>
      </c>
      <c r="E310" s="29">
        <v>0</v>
      </c>
      <c r="F310" s="29" t="s">
        <v>1515</v>
      </c>
      <c r="G310" s="29" t="s">
        <v>1038</v>
      </c>
      <c r="H310" s="29">
        <v>2024</v>
      </c>
      <c r="I310" s="29" t="s">
        <v>1531</v>
      </c>
      <c r="J310" s="29"/>
      <c r="K310" s="29"/>
      <c r="L310" s="38" t="s">
        <v>1534</v>
      </c>
      <c r="M310" s="29">
        <v>309</v>
      </c>
    </row>
    <row r="311" spans="1:13">
      <c r="A311" s="29">
        <v>310</v>
      </c>
      <c r="B311" s="38" t="s">
        <v>467</v>
      </c>
      <c r="C311" s="29" t="s">
        <v>1292</v>
      </c>
      <c r="D311" s="29" t="s">
        <v>1293</v>
      </c>
      <c r="E311" s="29">
        <v>0</v>
      </c>
      <c r="F311" s="29" t="s">
        <v>1515</v>
      </c>
      <c r="G311" s="29" t="s">
        <v>1294</v>
      </c>
      <c r="H311" s="29">
        <v>2024</v>
      </c>
      <c r="I311" s="29" t="s">
        <v>1531</v>
      </c>
      <c r="J311" s="29"/>
      <c r="K311" s="29"/>
      <c r="L311" s="38" t="s">
        <v>1534</v>
      </c>
      <c r="M311" s="29">
        <v>310</v>
      </c>
    </row>
    <row r="312" spans="1:13">
      <c r="A312" s="29">
        <v>311</v>
      </c>
      <c r="B312" s="38" t="s">
        <v>467</v>
      </c>
      <c r="C312" s="29" t="s">
        <v>1295</v>
      </c>
      <c r="D312" s="29" t="s">
        <v>1296</v>
      </c>
      <c r="E312" s="29">
        <v>0</v>
      </c>
      <c r="F312" s="29" t="s">
        <v>1515</v>
      </c>
      <c r="G312" s="29" t="s">
        <v>1297</v>
      </c>
      <c r="H312" s="29">
        <v>2024</v>
      </c>
      <c r="I312" s="29" t="s">
        <v>1531</v>
      </c>
      <c r="J312" s="29"/>
      <c r="K312" s="29"/>
      <c r="L312" s="38" t="s">
        <v>1534</v>
      </c>
      <c r="M312" s="29">
        <v>311</v>
      </c>
    </row>
    <row r="313" spans="1:13">
      <c r="A313" s="29">
        <v>312</v>
      </c>
      <c r="B313" s="38" t="s">
        <v>467</v>
      </c>
      <c r="C313" s="29" t="s">
        <v>1298</v>
      </c>
      <c r="D313" s="29" t="s">
        <v>1299</v>
      </c>
      <c r="E313" s="29">
        <v>0</v>
      </c>
      <c r="F313" s="29" t="s">
        <v>1515</v>
      </c>
      <c r="G313" s="29" t="s">
        <v>1203</v>
      </c>
      <c r="H313" s="29">
        <v>2024</v>
      </c>
      <c r="I313" s="29" t="s">
        <v>1531</v>
      </c>
      <c r="J313" s="29"/>
      <c r="K313" s="29"/>
      <c r="L313" s="38" t="s">
        <v>1534</v>
      </c>
      <c r="M313" s="29">
        <v>312</v>
      </c>
    </row>
    <row r="314" spans="1:13">
      <c r="A314" s="29">
        <v>313</v>
      </c>
      <c r="B314" s="38" t="s">
        <v>467</v>
      </c>
      <c r="C314" s="29" t="s">
        <v>1300</v>
      </c>
      <c r="D314" s="29" t="s">
        <v>1301</v>
      </c>
      <c r="E314" s="29">
        <v>1</v>
      </c>
      <c r="F314" s="29" t="s">
        <v>1515</v>
      </c>
      <c r="G314" s="29" t="s">
        <v>1302</v>
      </c>
      <c r="H314" s="29">
        <v>2024</v>
      </c>
      <c r="I314" s="29" t="s">
        <v>1536</v>
      </c>
      <c r="J314" s="29" t="s">
        <v>1536</v>
      </c>
      <c r="K314" s="29" t="s">
        <v>1536</v>
      </c>
      <c r="L314" s="38"/>
      <c r="M314" s="29">
        <v>313</v>
      </c>
    </row>
    <row r="315" spans="1:13">
      <c r="A315" s="29">
        <v>314</v>
      </c>
      <c r="B315" s="38" t="s">
        <v>467</v>
      </c>
      <c r="C315" s="29" t="s">
        <v>1303</v>
      </c>
      <c r="D315" s="29" t="s">
        <v>1304</v>
      </c>
      <c r="E315" s="29">
        <v>1</v>
      </c>
      <c r="F315" s="29" t="s">
        <v>1515</v>
      </c>
      <c r="G315" s="29" t="s">
        <v>624</v>
      </c>
      <c r="H315" s="29">
        <v>2024</v>
      </c>
      <c r="I315" s="29" t="s">
        <v>1536</v>
      </c>
      <c r="J315" s="29" t="s">
        <v>1536</v>
      </c>
      <c r="K315" s="29" t="s">
        <v>1536</v>
      </c>
      <c r="L315" s="38"/>
      <c r="M315" s="29">
        <v>314</v>
      </c>
    </row>
    <row r="316" spans="1:13">
      <c r="A316" s="29">
        <v>315</v>
      </c>
      <c r="B316" s="38" t="s">
        <v>467</v>
      </c>
      <c r="C316" s="29" t="s">
        <v>1305</v>
      </c>
      <c r="D316" s="29" t="s">
        <v>1306</v>
      </c>
      <c r="E316" s="29">
        <v>1</v>
      </c>
      <c r="F316" s="29" t="s">
        <v>1515</v>
      </c>
      <c r="G316" s="29" t="s">
        <v>1307</v>
      </c>
      <c r="H316" s="29">
        <v>2024</v>
      </c>
      <c r="I316" s="29" t="s">
        <v>1536</v>
      </c>
      <c r="J316" s="29" t="s">
        <v>1536</v>
      </c>
      <c r="K316" s="29" t="s">
        <v>1536</v>
      </c>
      <c r="L316" s="38"/>
      <c r="M316" s="29">
        <v>315</v>
      </c>
    </row>
    <row r="317" spans="1:13" ht="13.5" customHeight="1">
      <c r="A317" s="29">
        <v>316</v>
      </c>
      <c r="B317" s="38" t="s">
        <v>467</v>
      </c>
      <c r="C317" s="29" t="s">
        <v>1601</v>
      </c>
      <c r="D317" s="29" t="s">
        <v>1602</v>
      </c>
      <c r="E317" s="29">
        <v>0</v>
      </c>
      <c r="F317" s="29" t="s">
        <v>1603</v>
      </c>
      <c r="G317" s="29" t="s">
        <v>1520</v>
      </c>
      <c r="H317" s="29">
        <v>2024</v>
      </c>
      <c r="I317" s="29" t="s">
        <v>1536</v>
      </c>
      <c r="J317" s="29" t="s">
        <v>1536</v>
      </c>
      <c r="K317" s="29" t="s">
        <v>1531</v>
      </c>
      <c r="L317" s="38" t="s">
        <v>1604</v>
      </c>
      <c r="M317" s="29">
        <v>316</v>
      </c>
    </row>
    <row r="318" spans="1:13">
      <c r="A318" s="29">
        <v>317</v>
      </c>
      <c r="B318" s="38" t="s">
        <v>1529</v>
      </c>
      <c r="C318" s="29" t="s">
        <v>1605</v>
      </c>
      <c r="D318" s="29" t="s">
        <v>1606</v>
      </c>
      <c r="E318" s="29">
        <v>0</v>
      </c>
      <c r="F318" s="29" t="s">
        <v>1603</v>
      </c>
      <c r="G318" s="29" t="s">
        <v>843</v>
      </c>
      <c r="H318" s="29">
        <v>2024</v>
      </c>
      <c r="I318" s="29" t="s">
        <v>1536</v>
      </c>
      <c r="J318" s="29" t="s">
        <v>1536</v>
      </c>
      <c r="K318" s="29" t="s">
        <v>1531</v>
      </c>
      <c r="L318" s="38" t="s">
        <v>1607</v>
      </c>
      <c r="M318" s="29">
        <v>317</v>
      </c>
    </row>
    <row r="319" spans="1:13">
      <c r="A319" s="29">
        <v>318</v>
      </c>
      <c r="B319" s="38" t="s">
        <v>467</v>
      </c>
      <c r="C319" s="29" t="s">
        <v>1308</v>
      </c>
      <c r="D319" s="29" t="s">
        <v>1309</v>
      </c>
      <c r="E319" s="29">
        <v>1</v>
      </c>
      <c r="F319" s="29" t="s">
        <v>1515</v>
      </c>
      <c r="G319" s="29" t="s">
        <v>1310</v>
      </c>
      <c r="H319" s="29">
        <v>2025</v>
      </c>
      <c r="I319" s="29" t="s">
        <v>1536</v>
      </c>
      <c r="J319" s="29" t="s">
        <v>1536</v>
      </c>
      <c r="K319" s="29" t="s">
        <v>1536</v>
      </c>
      <c r="L319" s="38"/>
      <c r="M319" s="29">
        <v>318</v>
      </c>
    </row>
    <row r="320" spans="1:13">
      <c r="A320" s="29">
        <v>319</v>
      </c>
      <c r="B320" s="38" t="s">
        <v>467</v>
      </c>
      <c r="C320" s="29" t="s">
        <v>1311</v>
      </c>
      <c r="D320" s="29" t="s">
        <v>1312</v>
      </c>
      <c r="E320" s="29">
        <v>0</v>
      </c>
      <c r="F320" s="29" t="s">
        <v>1515</v>
      </c>
      <c r="G320" s="29" t="s">
        <v>943</v>
      </c>
      <c r="H320" s="29">
        <v>2025</v>
      </c>
      <c r="I320" s="29" t="s">
        <v>1531</v>
      </c>
      <c r="J320" s="29"/>
      <c r="K320" s="29"/>
      <c r="L320" s="38" t="s">
        <v>1534</v>
      </c>
      <c r="M320" s="29">
        <v>319</v>
      </c>
    </row>
    <row r="321" spans="1:13">
      <c r="A321" s="29">
        <v>320</v>
      </c>
      <c r="B321" s="38" t="s">
        <v>467</v>
      </c>
      <c r="C321" s="29" t="s">
        <v>1313</v>
      </c>
      <c r="D321" s="29" t="s">
        <v>1314</v>
      </c>
      <c r="E321" s="29">
        <v>0</v>
      </c>
      <c r="F321" s="29" t="s">
        <v>1515</v>
      </c>
      <c r="G321" s="29" t="s">
        <v>1315</v>
      </c>
      <c r="H321" s="29">
        <v>2025</v>
      </c>
      <c r="I321" s="29" t="s">
        <v>1531</v>
      </c>
      <c r="J321" s="29"/>
      <c r="K321" s="29"/>
      <c r="L321" s="38" t="s">
        <v>1534</v>
      </c>
      <c r="M321" s="29">
        <v>320</v>
      </c>
    </row>
    <row r="322" spans="1:13">
      <c r="A322" s="29">
        <v>321</v>
      </c>
      <c r="B322" s="38" t="s">
        <v>467</v>
      </c>
      <c r="C322" s="29" t="s">
        <v>1316</v>
      </c>
      <c r="D322" s="29" t="s">
        <v>1317</v>
      </c>
      <c r="E322" s="29">
        <v>0</v>
      </c>
      <c r="F322" s="29" t="s">
        <v>1515</v>
      </c>
      <c r="G322" s="29" t="s">
        <v>1318</v>
      </c>
      <c r="H322" s="29">
        <v>2025</v>
      </c>
      <c r="I322" s="29" t="s">
        <v>1531</v>
      </c>
      <c r="J322" s="29"/>
      <c r="K322" s="29"/>
      <c r="L322" s="38" t="s">
        <v>1534</v>
      </c>
      <c r="M322" s="29">
        <v>321</v>
      </c>
    </row>
    <row r="323" spans="1:13">
      <c r="A323" s="29">
        <v>322</v>
      </c>
      <c r="B323" s="38" t="s">
        <v>467</v>
      </c>
      <c r="C323" s="29" t="s">
        <v>1319</v>
      </c>
      <c r="D323" s="29" t="s">
        <v>1320</v>
      </c>
      <c r="E323" s="29">
        <v>0</v>
      </c>
      <c r="F323" s="29" t="s">
        <v>1515</v>
      </c>
      <c r="G323" s="29" t="s">
        <v>1302</v>
      </c>
      <c r="H323" s="29">
        <v>2025</v>
      </c>
      <c r="I323" s="29" t="s">
        <v>1536</v>
      </c>
      <c r="J323" s="29" t="s">
        <v>1536</v>
      </c>
      <c r="K323" s="29" t="s">
        <v>1531</v>
      </c>
      <c r="L323" s="38" t="s">
        <v>1608</v>
      </c>
      <c r="M323" s="29">
        <v>322</v>
      </c>
    </row>
    <row r="324" spans="1:13">
      <c r="A324" s="29">
        <v>323</v>
      </c>
      <c r="B324" s="38" t="s">
        <v>467</v>
      </c>
      <c r="C324" s="29" t="s">
        <v>1321</v>
      </c>
      <c r="D324" s="29" t="s">
        <v>1322</v>
      </c>
      <c r="E324" s="29">
        <v>0</v>
      </c>
      <c r="F324" s="29" t="s">
        <v>1515</v>
      </c>
      <c r="G324" s="29" t="s">
        <v>1269</v>
      </c>
      <c r="H324" s="29">
        <v>2025</v>
      </c>
      <c r="I324" s="29" t="s">
        <v>1531</v>
      </c>
      <c r="J324" s="29"/>
      <c r="K324" s="29"/>
      <c r="L324" s="38" t="s">
        <v>1534</v>
      </c>
      <c r="M324" s="29">
        <v>323</v>
      </c>
    </row>
    <row r="325" spans="1:13">
      <c r="A325" s="29">
        <v>324</v>
      </c>
      <c r="B325" s="38" t="s">
        <v>467</v>
      </c>
      <c r="C325" s="29" t="s">
        <v>1323</v>
      </c>
      <c r="D325" s="29" t="s">
        <v>1324</v>
      </c>
      <c r="E325" s="29">
        <v>0</v>
      </c>
      <c r="F325" s="29" t="s">
        <v>1515</v>
      </c>
      <c r="G325" s="29" t="s">
        <v>1325</v>
      </c>
      <c r="H325" s="29">
        <v>2025</v>
      </c>
      <c r="I325" s="29" t="s">
        <v>1531</v>
      </c>
      <c r="J325" s="29"/>
      <c r="K325" s="29"/>
      <c r="L325" s="38" t="s">
        <v>1534</v>
      </c>
      <c r="M325" s="29">
        <v>324</v>
      </c>
    </row>
    <row r="326" spans="1:13">
      <c r="A326" s="29">
        <v>325</v>
      </c>
      <c r="B326" s="38" t="s">
        <v>467</v>
      </c>
      <c r="C326" s="29" t="s">
        <v>1326</v>
      </c>
      <c r="D326" s="29" t="s">
        <v>1327</v>
      </c>
      <c r="E326" s="29">
        <v>0</v>
      </c>
      <c r="F326" s="29" t="s">
        <v>1515</v>
      </c>
      <c r="G326" s="29" t="s">
        <v>1328</v>
      </c>
      <c r="H326" s="29">
        <v>2025</v>
      </c>
      <c r="I326" s="29" t="s">
        <v>1531</v>
      </c>
      <c r="J326" s="29"/>
      <c r="K326" s="29"/>
      <c r="L326" s="38" t="s">
        <v>1534</v>
      </c>
      <c r="M326" s="29">
        <v>325</v>
      </c>
    </row>
    <row r="327" spans="1:13">
      <c r="A327" s="29">
        <v>326</v>
      </c>
      <c r="B327" s="38" t="s">
        <v>467</v>
      </c>
      <c r="C327" s="29" t="s">
        <v>1329</v>
      </c>
      <c r="D327" s="29" t="s">
        <v>1330</v>
      </c>
      <c r="E327" s="29">
        <v>0</v>
      </c>
      <c r="F327" s="29" t="s">
        <v>1515</v>
      </c>
      <c r="G327" s="29" t="s">
        <v>1331</v>
      </c>
      <c r="H327" s="29">
        <v>2025</v>
      </c>
      <c r="I327" s="29" t="s">
        <v>1531</v>
      </c>
      <c r="J327" s="29"/>
      <c r="K327" s="29"/>
      <c r="L327" s="38" t="s">
        <v>1534</v>
      </c>
      <c r="M327" s="29">
        <v>326</v>
      </c>
    </row>
    <row r="328" spans="1:13">
      <c r="A328" s="29">
        <v>327</v>
      </c>
      <c r="B328" s="38" t="s">
        <v>467</v>
      </c>
      <c r="C328" s="29" t="s">
        <v>1332</v>
      </c>
      <c r="D328" s="29" t="s">
        <v>1333</v>
      </c>
      <c r="E328" s="29">
        <v>1</v>
      </c>
      <c r="F328" s="29" t="s">
        <v>1515</v>
      </c>
      <c r="G328" s="29" t="s">
        <v>1334</v>
      </c>
      <c r="H328" s="29">
        <v>2025</v>
      </c>
      <c r="I328" s="29" t="s">
        <v>1536</v>
      </c>
      <c r="J328" s="29" t="s">
        <v>1536</v>
      </c>
      <c r="K328" s="29" t="s">
        <v>1536</v>
      </c>
      <c r="L328" s="38"/>
      <c r="M328" s="29">
        <v>327</v>
      </c>
    </row>
    <row r="329" spans="1:13">
      <c r="A329" s="29">
        <v>328</v>
      </c>
      <c r="B329" s="38" t="s">
        <v>467</v>
      </c>
      <c r="C329" s="29" t="s">
        <v>1335</v>
      </c>
      <c r="D329" s="29" t="s">
        <v>1336</v>
      </c>
      <c r="E329" s="29">
        <v>0</v>
      </c>
      <c r="F329" s="29" t="s">
        <v>1515</v>
      </c>
      <c r="G329" s="29" t="s">
        <v>1337</v>
      </c>
      <c r="H329" s="29">
        <v>2025</v>
      </c>
      <c r="I329" s="29" t="s">
        <v>1531</v>
      </c>
      <c r="J329" s="29"/>
      <c r="K329" s="29"/>
      <c r="L329" s="38" t="s">
        <v>1534</v>
      </c>
      <c r="M329" s="29">
        <v>328</v>
      </c>
    </row>
    <row r="330" spans="1:13">
      <c r="A330" s="29">
        <v>329</v>
      </c>
      <c r="B330" s="38" t="s">
        <v>467</v>
      </c>
      <c r="C330" s="29" t="s">
        <v>1338</v>
      </c>
      <c r="D330" s="29" t="s">
        <v>1339</v>
      </c>
      <c r="E330" s="29">
        <v>1</v>
      </c>
      <c r="F330" s="29" t="s">
        <v>1515</v>
      </c>
      <c r="G330" s="29" t="s">
        <v>1340</v>
      </c>
      <c r="H330" s="29">
        <v>2025</v>
      </c>
      <c r="I330" s="29" t="s">
        <v>1536</v>
      </c>
      <c r="J330" s="29" t="s">
        <v>1536</v>
      </c>
      <c r="K330" s="29" t="s">
        <v>1536</v>
      </c>
      <c r="L330" s="38"/>
      <c r="M330" s="29">
        <v>329</v>
      </c>
    </row>
    <row r="331" spans="1:13">
      <c r="A331" s="29">
        <v>330</v>
      </c>
      <c r="B331" s="38" t="s">
        <v>467</v>
      </c>
      <c r="C331" s="29" t="s">
        <v>1341</v>
      </c>
      <c r="D331" s="29" t="s">
        <v>1342</v>
      </c>
      <c r="E331" s="29">
        <v>0</v>
      </c>
      <c r="F331" s="29" t="s">
        <v>1515</v>
      </c>
      <c r="G331" s="29" t="s">
        <v>771</v>
      </c>
      <c r="H331" s="29">
        <v>2025</v>
      </c>
      <c r="I331" s="29" t="s">
        <v>1531</v>
      </c>
      <c r="J331" s="29"/>
      <c r="K331" s="29"/>
      <c r="L331" s="38" t="s">
        <v>1534</v>
      </c>
      <c r="M331" s="29">
        <v>330</v>
      </c>
    </row>
    <row r="332" spans="1:13">
      <c r="A332" s="29">
        <v>331</v>
      </c>
      <c r="B332" s="38" t="s">
        <v>467</v>
      </c>
      <c r="C332" s="29" t="s">
        <v>1343</v>
      </c>
      <c r="D332" s="29" t="s">
        <v>1344</v>
      </c>
      <c r="E332" s="29">
        <v>0</v>
      </c>
      <c r="F332" s="29" t="s">
        <v>1515</v>
      </c>
      <c r="G332" s="29" t="s">
        <v>723</v>
      </c>
      <c r="H332" s="29">
        <v>2025</v>
      </c>
      <c r="I332" s="29" t="s">
        <v>1531</v>
      </c>
      <c r="J332" s="29"/>
      <c r="K332" s="29"/>
      <c r="L332" s="38" t="s">
        <v>1534</v>
      </c>
      <c r="M332" s="29">
        <v>331</v>
      </c>
    </row>
    <row r="333" spans="1:13">
      <c r="A333" s="29">
        <v>332</v>
      </c>
      <c r="B333" s="38" t="s">
        <v>467</v>
      </c>
      <c r="C333" s="29" t="s">
        <v>1345</v>
      </c>
      <c r="D333" s="29" t="s">
        <v>1346</v>
      </c>
      <c r="E333" s="29">
        <v>0</v>
      </c>
      <c r="F333" s="29" t="s">
        <v>1515</v>
      </c>
      <c r="G333" s="29" t="s">
        <v>582</v>
      </c>
      <c r="H333" s="29">
        <v>2025</v>
      </c>
      <c r="I333" s="29" t="s">
        <v>1531</v>
      </c>
      <c r="J333" s="29"/>
      <c r="K333" s="29"/>
      <c r="L333" s="38" t="s">
        <v>1534</v>
      </c>
      <c r="M333" s="29">
        <v>332</v>
      </c>
    </row>
    <row r="334" spans="1:13">
      <c r="A334" s="29">
        <v>333</v>
      </c>
      <c r="B334" s="38" t="s">
        <v>467</v>
      </c>
      <c r="C334" s="29" t="s">
        <v>1347</v>
      </c>
      <c r="D334" s="29" t="s">
        <v>1348</v>
      </c>
      <c r="E334" s="29">
        <v>0</v>
      </c>
      <c r="F334" s="29" t="s">
        <v>1515</v>
      </c>
      <c r="G334" s="29" t="s">
        <v>1349</v>
      </c>
      <c r="H334" s="29">
        <v>2025</v>
      </c>
      <c r="I334" s="29" t="s">
        <v>1531</v>
      </c>
      <c r="J334" s="29"/>
      <c r="K334" s="29"/>
      <c r="L334" s="38" t="s">
        <v>1534</v>
      </c>
      <c r="M334" s="29">
        <v>333</v>
      </c>
    </row>
    <row r="335" spans="1:13">
      <c r="A335" s="29">
        <v>334</v>
      </c>
      <c r="B335" s="38" t="s">
        <v>467</v>
      </c>
      <c r="C335" s="29" t="s">
        <v>1350</v>
      </c>
      <c r="D335" s="29" t="s">
        <v>1351</v>
      </c>
      <c r="E335" s="29">
        <v>0</v>
      </c>
      <c r="F335" s="29" t="s">
        <v>1515</v>
      </c>
      <c r="G335" s="29" t="s">
        <v>1352</v>
      </c>
      <c r="H335" s="29">
        <v>2025</v>
      </c>
      <c r="I335" s="29" t="s">
        <v>1531</v>
      </c>
      <c r="J335" s="29"/>
      <c r="K335" s="29"/>
      <c r="L335" s="38" t="s">
        <v>1534</v>
      </c>
      <c r="M335" s="29">
        <v>334</v>
      </c>
    </row>
    <row r="336" spans="1:13">
      <c r="A336" s="29">
        <v>335</v>
      </c>
      <c r="B336" s="38" t="s">
        <v>467</v>
      </c>
      <c r="C336" s="29" t="s">
        <v>1353</v>
      </c>
      <c r="D336" s="29" t="s">
        <v>1354</v>
      </c>
      <c r="E336" s="29">
        <v>0</v>
      </c>
      <c r="F336" s="29" t="s">
        <v>1515</v>
      </c>
      <c r="G336" s="29" t="s">
        <v>1355</v>
      </c>
      <c r="H336" s="29">
        <v>2025</v>
      </c>
      <c r="I336" s="29" t="s">
        <v>1531</v>
      </c>
      <c r="J336" s="29"/>
      <c r="K336" s="29"/>
      <c r="L336" s="38" t="s">
        <v>1534</v>
      </c>
      <c r="M336" s="29">
        <v>335</v>
      </c>
    </row>
    <row r="337" spans="1:13">
      <c r="A337" s="29">
        <v>336</v>
      </c>
      <c r="B337" s="38" t="s">
        <v>467</v>
      </c>
      <c r="C337" s="29" t="s">
        <v>1356</v>
      </c>
      <c r="D337" s="29" t="s">
        <v>1357</v>
      </c>
      <c r="E337" s="29">
        <v>0</v>
      </c>
      <c r="F337" s="29" t="s">
        <v>1515</v>
      </c>
      <c r="G337" s="29" t="s">
        <v>1358</v>
      </c>
      <c r="H337" s="29">
        <v>2025</v>
      </c>
      <c r="I337" s="29" t="s">
        <v>1531</v>
      </c>
      <c r="J337" s="29"/>
      <c r="K337" s="29"/>
      <c r="L337" s="38" t="s">
        <v>1534</v>
      </c>
      <c r="M337" s="29">
        <v>336</v>
      </c>
    </row>
    <row r="338" spans="1:13">
      <c r="A338" s="29">
        <v>337</v>
      </c>
      <c r="B338" s="38" t="s">
        <v>467</v>
      </c>
      <c r="C338" s="29" t="s">
        <v>1359</v>
      </c>
      <c r="D338" s="29" t="s">
        <v>1360</v>
      </c>
      <c r="E338" s="29">
        <v>1</v>
      </c>
      <c r="F338" s="29" t="s">
        <v>1515</v>
      </c>
      <c r="G338" s="29" t="s">
        <v>1361</v>
      </c>
      <c r="H338" s="29">
        <v>2025</v>
      </c>
      <c r="I338" s="29" t="s">
        <v>1536</v>
      </c>
      <c r="J338" s="29" t="s">
        <v>1536</v>
      </c>
      <c r="K338" s="29" t="s">
        <v>1536</v>
      </c>
      <c r="L338" s="38"/>
      <c r="M338" s="29">
        <v>337</v>
      </c>
    </row>
    <row r="339" spans="1:13">
      <c r="A339" s="29">
        <v>338</v>
      </c>
      <c r="B339" s="38" t="s">
        <v>467</v>
      </c>
      <c r="C339" s="29" t="s">
        <v>1362</v>
      </c>
      <c r="D339" s="29" t="s">
        <v>1363</v>
      </c>
      <c r="E339" s="29">
        <v>0</v>
      </c>
      <c r="F339" s="29" t="s">
        <v>1515</v>
      </c>
      <c r="G339" s="29" t="s">
        <v>1364</v>
      </c>
      <c r="H339" s="29">
        <v>2025</v>
      </c>
      <c r="I339" s="29" t="s">
        <v>1531</v>
      </c>
      <c r="J339" s="29"/>
      <c r="K339" s="29"/>
      <c r="L339" s="38" t="s">
        <v>1534</v>
      </c>
      <c r="M339" s="29">
        <v>338</v>
      </c>
    </row>
    <row r="340" spans="1:13">
      <c r="A340" s="29">
        <v>339</v>
      </c>
      <c r="B340" s="38" t="s">
        <v>467</v>
      </c>
      <c r="C340" s="29" t="s">
        <v>1365</v>
      </c>
      <c r="D340" s="29" t="s">
        <v>1366</v>
      </c>
      <c r="E340" s="29">
        <v>0</v>
      </c>
      <c r="F340" s="29" t="s">
        <v>1515</v>
      </c>
      <c r="G340" s="29" t="s">
        <v>1367</v>
      </c>
      <c r="H340" s="29">
        <v>2025</v>
      </c>
      <c r="I340" s="29" t="s">
        <v>1531</v>
      </c>
      <c r="J340" s="29"/>
      <c r="K340" s="29"/>
      <c r="L340" s="38" t="s">
        <v>1534</v>
      </c>
      <c r="M340" s="29">
        <v>339</v>
      </c>
    </row>
    <row r="341" spans="1:13">
      <c r="A341" s="29">
        <v>340</v>
      </c>
      <c r="B341" s="38" t="s">
        <v>467</v>
      </c>
      <c r="C341" s="29" t="s">
        <v>1368</v>
      </c>
      <c r="D341" s="29" t="s">
        <v>1369</v>
      </c>
      <c r="E341" s="29">
        <v>0</v>
      </c>
      <c r="F341" s="29" t="s">
        <v>1515</v>
      </c>
      <c r="G341" s="29" t="s">
        <v>1358</v>
      </c>
      <c r="H341" s="29">
        <v>2025</v>
      </c>
      <c r="I341" s="29" t="s">
        <v>1531</v>
      </c>
      <c r="J341" s="29"/>
      <c r="K341" s="29"/>
      <c r="L341" s="38" t="s">
        <v>1534</v>
      </c>
      <c r="M341" s="29">
        <v>340</v>
      </c>
    </row>
    <row r="342" spans="1:13">
      <c r="A342" s="29">
        <v>341</v>
      </c>
      <c r="B342" s="38" t="s">
        <v>467</v>
      </c>
      <c r="C342" s="29" t="s">
        <v>1370</v>
      </c>
      <c r="D342" s="29" t="s">
        <v>1371</v>
      </c>
      <c r="E342" s="29">
        <v>0</v>
      </c>
      <c r="F342" s="29" t="s">
        <v>1515</v>
      </c>
      <c r="G342" s="29" t="s">
        <v>1372</v>
      </c>
      <c r="H342" s="29">
        <v>2025</v>
      </c>
      <c r="I342" s="29" t="s">
        <v>1531</v>
      </c>
      <c r="J342" s="29"/>
      <c r="K342" s="29"/>
      <c r="L342" s="38" t="s">
        <v>1534</v>
      </c>
      <c r="M342" s="29">
        <v>341</v>
      </c>
    </row>
    <row r="343" spans="1:13">
      <c r="A343" s="29">
        <v>342</v>
      </c>
      <c r="B343" s="38" t="s">
        <v>467</v>
      </c>
      <c r="C343" s="29" t="s">
        <v>1373</v>
      </c>
      <c r="D343" s="29" t="s">
        <v>1374</v>
      </c>
      <c r="E343" s="29">
        <v>1</v>
      </c>
      <c r="F343" s="29" t="s">
        <v>1515</v>
      </c>
      <c r="G343" s="29" t="s">
        <v>627</v>
      </c>
      <c r="H343" s="29">
        <v>2025</v>
      </c>
      <c r="I343" s="29" t="s">
        <v>1536</v>
      </c>
      <c r="J343" s="29" t="s">
        <v>1536</v>
      </c>
      <c r="K343" s="29" t="s">
        <v>1536</v>
      </c>
      <c r="L343" s="38"/>
      <c r="M343" s="29">
        <v>342</v>
      </c>
    </row>
    <row r="344" spans="1:13">
      <c r="A344" s="29">
        <v>343</v>
      </c>
      <c r="B344" s="38" t="s">
        <v>467</v>
      </c>
      <c r="C344" s="29" t="s">
        <v>1375</v>
      </c>
      <c r="D344" s="29" t="s">
        <v>1376</v>
      </c>
      <c r="E344" s="29">
        <v>0</v>
      </c>
      <c r="F344" s="29" t="s">
        <v>1515</v>
      </c>
      <c r="G344" s="29" t="s">
        <v>1377</v>
      </c>
      <c r="H344" s="29">
        <v>2025</v>
      </c>
      <c r="I344" s="29" t="s">
        <v>1531</v>
      </c>
      <c r="J344" s="29"/>
      <c r="K344" s="29"/>
      <c r="L344" s="38" t="s">
        <v>1534</v>
      </c>
      <c r="M344" s="29">
        <v>343</v>
      </c>
    </row>
    <row r="345" spans="1:13">
      <c r="A345" s="29">
        <v>344</v>
      </c>
      <c r="B345" s="38" t="s">
        <v>467</v>
      </c>
      <c r="C345" s="29" t="s">
        <v>1378</v>
      </c>
      <c r="D345" s="29" t="s">
        <v>1379</v>
      </c>
      <c r="E345" s="29">
        <v>0</v>
      </c>
      <c r="F345" s="29" t="s">
        <v>1515</v>
      </c>
      <c r="G345" s="29" t="s">
        <v>1380</v>
      </c>
      <c r="H345" s="29">
        <v>2025</v>
      </c>
      <c r="I345" s="29" t="s">
        <v>1531</v>
      </c>
      <c r="J345" s="29"/>
      <c r="K345" s="29"/>
      <c r="L345" s="38" t="s">
        <v>1534</v>
      </c>
      <c r="M345" s="29">
        <v>344</v>
      </c>
    </row>
    <row r="346" spans="1:13">
      <c r="A346" s="29">
        <v>345</v>
      </c>
      <c r="B346" s="38" t="s">
        <v>467</v>
      </c>
      <c r="C346" s="29" t="s">
        <v>1381</v>
      </c>
      <c r="D346" s="29" t="s">
        <v>1382</v>
      </c>
      <c r="E346" s="29">
        <v>0</v>
      </c>
      <c r="F346" s="29" t="s">
        <v>1515</v>
      </c>
      <c r="G346" s="29" t="s">
        <v>997</v>
      </c>
      <c r="H346" s="29">
        <v>2025</v>
      </c>
      <c r="I346" s="29" t="s">
        <v>1531</v>
      </c>
      <c r="J346" s="29"/>
      <c r="K346" s="29"/>
      <c r="L346" s="38" t="s">
        <v>1534</v>
      </c>
      <c r="M346" s="29">
        <v>345</v>
      </c>
    </row>
    <row r="347" spans="1:13">
      <c r="A347" s="29">
        <v>346</v>
      </c>
      <c r="B347" s="38" t="s">
        <v>467</v>
      </c>
      <c r="C347" s="29" t="s">
        <v>1383</v>
      </c>
      <c r="D347" s="29" t="s">
        <v>1384</v>
      </c>
      <c r="E347" s="29">
        <v>1</v>
      </c>
      <c r="F347" s="29" t="s">
        <v>1515</v>
      </c>
      <c r="G347" s="29" t="s">
        <v>766</v>
      </c>
      <c r="H347" s="29">
        <v>2025</v>
      </c>
      <c r="I347" s="29" t="s">
        <v>1536</v>
      </c>
      <c r="J347" s="29" t="s">
        <v>1536</v>
      </c>
      <c r="K347" s="29" t="s">
        <v>1536</v>
      </c>
      <c r="L347" s="38"/>
      <c r="M347" s="29">
        <v>346</v>
      </c>
    </row>
    <row r="348" spans="1:13">
      <c r="A348" s="29">
        <v>347</v>
      </c>
      <c r="B348" s="38" t="s">
        <v>467</v>
      </c>
      <c r="C348" s="29" t="s">
        <v>1385</v>
      </c>
      <c r="D348" s="29" t="s">
        <v>1386</v>
      </c>
      <c r="E348" s="29">
        <v>0</v>
      </c>
      <c r="F348" s="29" t="s">
        <v>1515</v>
      </c>
      <c r="G348" s="29" t="s">
        <v>766</v>
      </c>
      <c r="H348" s="29">
        <v>2025</v>
      </c>
      <c r="I348" s="29" t="s">
        <v>1531</v>
      </c>
      <c r="J348" s="29"/>
      <c r="K348" s="29"/>
      <c r="L348" s="38" t="s">
        <v>1534</v>
      </c>
      <c r="M348" s="29">
        <v>347</v>
      </c>
    </row>
    <row r="349" spans="1:13">
      <c r="A349" s="29">
        <v>348</v>
      </c>
      <c r="B349" s="38" t="s">
        <v>467</v>
      </c>
      <c r="C349" s="29" t="s">
        <v>1387</v>
      </c>
      <c r="D349" s="29" t="s">
        <v>1388</v>
      </c>
      <c r="E349" s="29">
        <v>0</v>
      </c>
      <c r="F349" s="29" t="s">
        <v>1515</v>
      </c>
      <c r="G349" s="29" t="s">
        <v>997</v>
      </c>
      <c r="H349" s="29">
        <v>2025</v>
      </c>
      <c r="I349" s="29" t="s">
        <v>1531</v>
      </c>
      <c r="J349" s="29"/>
      <c r="K349" s="29"/>
      <c r="L349" s="38" t="s">
        <v>1534</v>
      </c>
      <c r="M349" s="29">
        <v>348</v>
      </c>
    </row>
    <row r="350" spans="1:13">
      <c r="A350" s="29">
        <v>349</v>
      </c>
      <c r="B350" s="38" t="s">
        <v>467</v>
      </c>
      <c r="C350" s="29" t="s">
        <v>1389</v>
      </c>
      <c r="D350" s="29" t="s">
        <v>1390</v>
      </c>
      <c r="E350" s="29">
        <v>0</v>
      </c>
      <c r="F350" s="29" t="s">
        <v>1515</v>
      </c>
      <c r="G350" s="29" t="s">
        <v>1076</v>
      </c>
      <c r="H350" s="29">
        <v>2025</v>
      </c>
      <c r="I350" s="29" t="s">
        <v>1531</v>
      </c>
      <c r="J350" s="29"/>
      <c r="K350" s="29"/>
      <c r="L350" s="38" t="s">
        <v>1534</v>
      </c>
      <c r="M350" s="29">
        <v>349</v>
      </c>
    </row>
    <row r="351" spans="1:13">
      <c r="A351" s="29">
        <v>350</v>
      </c>
      <c r="B351" s="38" t="s">
        <v>467</v>
      </c>
      <c r="C351" s="29" t="s">
        <v>1391</v>
      </c>
      <c r="D351" s="29" t="s">
        <v>1392</v>
      </c>
      <c r="E351" s="29">
        <v>0</v>
      </c>
      <c r="F351" s="29" t="s">
        <v>1515</v>
      </c>
      <c r="G351" s="29" t="s">
        <v>1393</v>
      </c>
      <c r="H351" s="29">
        <v>2025</v>
      </c>
      <c r="I351" s="29" t="s">
        <v>1531</v>
      </c>
      <c r="J351" s="29"/>
      <c r="K351" s="29"/>
      <c r="L351" s="38" t="s">
        <v>1534</v>
      </c>
      <c r="M351" s="29">
        <v>350</v>
      </c>
    </row>
    <row r="352" spans="1:13">
      <c r="A352" s="29">
        <v>351</v>
      </c>
      <c r="B352" s="38" t="s">
        <v>467</v>
      </c>
      <c r="C352" s="29" t="s">
        <v>1394</v>
      </c>
      <c r="D352" s="29" t="s">
        <v>1395</v>
      </c>
      <c r="E352" s="29">
        <v>0</v>
      </c>
      <c r="F352" s="29" t="s">
        <v>1515</v>
      </c>
      <c r="G352" s="29" t="s">
        <v>1396</v>
      </c>
      <c r="H352" s="29">
        <v>2025</v>
      </c>
      <c r="I352" s="29" t="s">
        <v>1531</v>
      </c>
      <c r="J352" s="29"/>
      <c r="K352" s="29"/>
      <c r="L352" s="38" t="s">
        <v>1534</v>
      </c>
      <c r="M352" s="29">
        <v>351</v>
      </c>
    </row>
    <row r="353" spans="1:13">
      <c r="A353" s="29">
        <v>352</v>
      </c>
      <c r="B353" s="38" t="s">
        <v>467</v>
      </c>
      <c r="C353" s="29" t="s">
        <v>1397</v>
      </c>
      <c r="D353" s="29" t="s">
        <v>1398</v>
      </c>
      <c r="E353" s="29">
        <v>0</v>
      </c>
      <c r="F353" s="29" t="s">
        <v>1515</v>
      </c>
      <c r="G353" s="29" t="s">
        <v>766</v>
      </c>
      <c r="H353" s="29">
        <v>2025</v>
      </c>
      <c r="I353" s="29" t="s">
        <v>1531</v>
      </c>
      <c r="J353" s="29"/>
      <c r="K353" s="29"/>
      <c r="L353" s="38" t="s">
        <v>1534</v>
      </c>
      <c r="M353" s="29">
        <v>352</v>
      </c>
    </row>
    <row r="354" spans="1:13">
      <c r="A354" s="29">
        <v>353</v>
      </c>
      <c r="B354" s="38" t="s">
        <v>467</v>
      </c>
      <c r="C354" s="29" t="s">
        <v>1399</v>
      </c>
      <c r="D354" s="29" t="s">
        <v>1400</v>
      </c>
      <c r="E354" s="29">
        <v>0</v>
      </c>
      <c r="F354" s="29" t="s">
        <v>1515</v>
      </c>
      <c r="G354" s="29" t="s">
        <v>1372</v>
      </c>
      <c r="H354" s="29">
        <v>2025</v>
      </c>
      <c r="I354" s="29" t="s">
        <v>1531</v>
      </c>
      <c r="J354" s="29"/>
      <c r="K354" s="29"/>
      <c r="L354" s="38" t="s">
        <v>1534</v>
      </c>
      <c r="M354" s="29">
        <v>353</v>
      </c>
    </row>
    <row r="355" spans="1:13">
      <c r="A355" s="29">
        <v>354</v>
      </c>
      <c r="B355" s="38" t="s">
        <v>467</v>
      </c>
      <c r="C355" s="29" t="s">
        <v>1401</v>
      </c>
      <c r="D355" s="29" t="s">
        <v>1402</v>
      </c>
      <c r="E355" s="29">
        <v>0</v>
      </c>
      <c r="F355" s="29" t="s">
        <v>1515</v>
      </c>
      <c r="G355" s="29" t="s">
        <v>1096</v>
      </c>
      <c r="H355" s="29">
        <v>2025</v>
      </c>
      <c r="I355" s="29" t="s">
        <v>1531</v>
      </c>
      <c r="J355" s="29"/>
      <c r="K355" s="29"/>
      <c r="L355" s="38" t="s">
        <v>1534</v>
      </c>
      <c r="M355" s="29">
        <v>354</v>
      </c>
    </row>
    <row r="356" spans="1:13">
      <c r="A356" s="29">
        <v>355</v>
      </c>
      <c r="B356" s="38" t="s">
        <v>467</v>
      </c>
      <c r="C356" s="29" t="s">
        <v>1403</v>
      </c>
      <c r="D356" s="29" t="s">
        <v>1404</v>
      </c>
      <c r="E356" s="29">
        <v>1</v>
      </c>
      <c r="F356" s="29" t="s">
        <v>1515</v>
      </c>
      <c r="G356" s="29" t="s">
        <v>1405</v>
      </c>
      <c r="H356" s="29">
        <v>2025</v>
      </c>
      <c r="I356" s="29" t="s">
        <v>1536</v>
      </c>
      <c r="J356" s="29" t="s">
        <v>1536</v>
      </c>
      <c r="K356" s="29" t="s">
        <v>1536</v>
      </c>
      <c r="L356" s="38"/>
      <c r="M356" s="29">
        <v>355</v>
      </c>
    </row>
    <row r="357" spans="1:13">
      <c r="A357" s="29">
        <v>356</v>
      </c>
      <c r="B357" s="38" t="s">
        <v>467</v>
      </c>
      <c r="C357" s="29" t="s">
        <v>1406</v>
      </c>
      <c r="D357" s="29" t="s">
        <v>1407</v>
      </c>
      <c r="E357" s="29">
        <v>0</v>
      </c>
      <c r="F357" s="29" t="s">
        <v>1515</v>
      </c>
      <c r="G357" s="29" t="s">
        <v>1408</v>
      </c>
      <c r="H357" s="29">
        <v>2025</v>
      </c>
      <c r="I357" s="29" t="s">
        <v>1531</v>
      </c>
      <c r="J357" s="29"/>
      <c r="K357" s="29"/>
      <c r="L357" s="38" t="s">
        <v>1534</v>
      </c>
      <c r="M357" s="29">
        <v>356</v>
      </c>
    </row>
    <row r="358" spans="1:13">
      <c r="A358" s="29">
        <v>357</v>
      </c>
      <c r="B358" s="38" t="s">
        <v>467</v>
      </c>
      <c r="C358" s="29" t="s">
        <v>1409</v>
      </c>
      <c r="D358" s="29" t="s">
        <v>1410</v>
      </c>
      <c r="E358" s="29">
        <v>1</v>
      </c>
      <c r="F358" s="29" t="s">
        <v>1515</v>
      </c>
      <c r="G358" s="29" t="s">
        <v>1038</v>
      </c>
      <c r="H358" s="29">
        <v>2025</v>
      </c>
      <c r="I358" s="29" t="s">
        <v>1536</v>
      </c>
      <c r="J358" s="29" t="s">
        <v>1536</v>
      </c>
      <c r="K358" s="29" t="s">
        <v>1536</v>
      </c>
      <c r="L358" s="38"/>
      <c r="M358" s="29">
        <v>357</v>
      </c>
    </row>
    <row r="359" spans="1:13">
      <c r="A359" s="29">
        <v>358</v>
      </c>
      <c r="B359" s="38" t="s">
        <v>467</v>
      </c>
      <c r="C359" s="29" t="s">
        <v>1411</v>
      </c>
      <c r="D359" s="29" t="s">
        <v>1412</v>
      </c>
      <c r="E359" s="29">
        <v>0</v>
      </c>
      <c r="F359" s="29" t="s">
        <v>1515</v>
      </c>
      <c r="G359" s="29" t="s">
        <v>1405</v>
      </c>
      <c r="H359" s="29">
        <v>2025</v>
      </c>
      <c r="I359" s="29" t="s">
        <v>1531</v>
      </c>
      <c r="J359" s="29"/>
      <c r="K359" s="29"/>
      <c r="L359" s="38" t="s">
        <v>1534</v>
      </c>
      <c r="M359" s="29">
        <v>358</v>
      </c>
    </row>
    <row r="360" spans="1:13">
      <c r="A360" s="29">
        <v>359</v>
      </c>
      <c r="B360" s="38" t="s">
        <v>467</v>
      </c>
      <c r="C360" s="29" t="s">
        <v>1413</v>
      </c>
      <c r="D360" s="29" t="s">
        <v>1414</v>
      </c>
      <c r="E360" s="29">
        <v>0</v>
      </c>
      <c r="F360" s="29" t="s">
        <v>1515</v>
      </c>
      <c r="G360" s="29" t="s">
        <v>1415</v>
      </c>
      <c r="H360" s="29">
        <v>2025</v>
      </c>
      <c r="I360" s="29" t="s">
        <v>1531</v>
      </c>
      <c r="J360" s="29"/>
      <c r="K360" s="29"/>
      <c r="L360" s="38" t="s">
        <v>1534</v>
      </c>
      <c r="M360" s="29">
        <v>359</v>
      </c>
    </row>
    <row r="361" spans="1:13">
      <c r="A361" s="29">
        <v>360</v>
      </c>
      <c r="B361" s="38" t="s">
        <v>467</v>
      </c>
      <c r="C361" s="29" t="s">
        <v>1416</v>
      </c>
      <c r="D361" s="29" t="s">
        <v>1417</v>
      </c>
      <c r="E361" s="29">
        <v>0</v>
      </c>
      <c r="F361" s="29" t="s">
        <v>1515</v>
      </c>
      <c r="G361" s="29" t="s">
        <v>1418</v>
      </c>
      <c r="H361" s="29">
        <v>2025</v>
      </c>
      <c r="I361" s="29" t="s">
        <v>1531</v>
      </c>
      <c r="J361" s="29"/>
      <c r="K361" s="29"/>
      <c r="L361" s="38" t="s">
        <v>1534</v>
      </c>
      <c r="M361" s="29">
        <v>360</v>
      </c>
    </row>
    <row r="362" spans="1:13">
      <c r="A362" s="29">
        <v>361</v>
      </c>
      <c r="B362" s="38" t="s">
        <v>467</v>
      </c>
      <c r="C362" s="29" t="s">
        <v>1419</v>
      </c>
      <c r="D362" s="29" t="s">
        <v>1420</v>
      </c>
      <c r="E362" s="29">
        <v>0</v>
      </c>
      <c r="F362" s="29" t="s">
        <v>1515</v>
      </c>
      <c r="G362" s="29" t="s">
        <v>588</v>
      </c>
      <c r="H362" s="29">
        <v>2025</v>
      </c>
      <c r="I362" s="29" t="s">
        <v>1531</v>
      </c>
      <c r="J362" s="29"/>
      <c r="K362" s="29"/>
      <c r="L362" s="38" t="s">
        <v>1534</v>
      </c>
      <c r="M362" s="29">
        <v>361</v>
      </c>
    </row>
    <row r="363" spans="1:13">
      <c r="A363" s="29">
        <v>362</v>
      </c>
      <c r="B363" s="38" t="s">
        <v>467</v>
      </c>
      <c r="C363" s="29" t="s">
        <v>1421</v>
      </c>
      <c r="D363" s="29" t="s">
        <v>1422</v>
      </c>
      <c r="E363" s="29">
        <v>0</v>
      </c>
      <c r="F363" s="29" t="s">
        <v>1515</v>
      </c>
      <c r="G363" s="29" t="s">
        <v>1423</v>
      </c>
      <c r="H363" s="29">
        <v>2025</v>
      </c>
      <c r="I363" s="29" t="s">
        <v>1531</v>
      </c>
      <c r="J363" s="29"/>
      <c r="K363" s="29"/>
      <c r="L363" s="38" t="s">
        <v>1534</v>
      </c>
      <c r="M363" s="29">
        <v>362</v>
      </c>
    </row>
    <row r="364" spans="1:13">
      <c r="A364" s="29">
        <v>363</v>
      </c>
      <c r="B364" s="38" t="s">
        <v>467</v>
      </c>
      <c r="C364" s="29" t="s">
        <v>792</v>
      </c>
      <c r="D364" s="29" t="s">
        <v>1424</v>
      </c>
      <c r="E364" s="29">
        <v>0</v>
      </c>
      <c r="F364" s="29" t="s">
        <v>1515</v>
      </c>
      <c r="G364" s="29" t="s">
        <v>1425</v>
      </c>
      <c r="H364" s="29">
        <v>2025</v>
      </c>
      <c r="I364" s="29" t="s">
        <v>1531</v>
      </c>
      <c r="J364" s="29"/>
      <c r="K364" s="29"/>
      <c r="L364" s="38" t="s">
        <v>1534</v>
      </c>
      <c r="M364" s="29">
        <v>363</v>
      </c>
    </row>
    <row r="365" spans="1:13">
      <c r="A365" s="29">
        <v>364</v>
      </c>
      <c r="B365" s="38" t="s">
        <v>467</v>
      </c>
      <c r="C365" s="29" t="s">
        <v>1426</v>
      </c>
      <c r="D365" s="29" t="s">
        <v>1427</v>
      </c>
      <c r="E365" s="29">
        <v>0</v>
      </c>
      <c r="F365" s="29" t="s">
        <v>1515</v>
      </c>
      <c r="G365" s="29" t="s">
        <v>1428</v>
      </c>
      <c r="H365" s="29">
        <v>2025</v>
      </c>
      <c r="I365" s="29" t="s">
        <v>1531</v>
      </c>
      <c r="J365" s="29"/>
      <c r="K365" s="29"/>
      <c r="L365" s="38" t="s">
        <v>1534</v>
      </c>
      <c r="M365" s="29">
        <v>364</v>
      </c>
    </row>
    <row r="366" spans="1:13">
      <c r="A366" s="29">
        <v>365</v>
      </c>
      <c r="B366" s="38" t="s">
        <v>467</v>
      </c>
      <c r="C366" s="29" t="s">
        <v>1429</v>
      </c>
      <c r="D366" s="29" t="s">
        <v>1430</v>
      </c>
      <c r="E366" s="29">
        <v>0</v>
      </c>
      <c r="F366" s="29" t="s">
        <v>1515</v>
      </c>
      <c r="G366" s="29" t="s">
        <v>1431</v>
      </c>
      <c r="H366" s="29">
        <v>2025</v>
      </c>
      <c r="I366" s="29" t="s">
        <v>1531</v>
      </c>
      <c r="J366" s="29"/>
      <c r="K366" s="29"/>
      <c r="L366" s="38" t="s">
        <v>1534</v>
      </c>
      <c r="M366" s="29">
        <v>365</v>
      </c>
    </row>
    <row r="367" spans="1:13">
      <c r="A367" s="29">
        <v>366</v>
      </c>
      <c r="B367" s="38" t="s">
        <v>467</v>
      </c>
      <c r="C367" s="29" t="s">
        <v>1432</v>
      </c>
      <c r="D367" s="29" t="s">
        <v>1433</v>
      </c>
      <c r="E367" s="29">
        <v>1</v>
      </c>
      <c r="F367" s="29" t="s">
        <v>1515</v>
      </c>
      <c r="G367" s="29" t="s">
        <v>1434</v>
      </c>
      <c r="H367" s="29">
        <v>2025</v>
      </c>
      <c r="I367" s="29" t="s">
        <v>1536</v>
      </c>
      <c r="J367" s="29" t="s">
        <v>1536</v>
      </c>
      <c r="K367" s="29" t="s">
        <v>1536</v>
      </c>
      <c r="L367" s="38"/>
      <c r="M367" s="29">
        <v>366</v>
      </c>
    </row>
    <row r="368" spans="1:13">
      <c r="A368" s="29">
        <v>367</v>
      </c>
      <c r="B368" s="38" t="s">
        <v>467</v>
      </c>
      <c r="C368" s="29" t="s">
        <v>1435</v>
      </c>
      <c r="D368" s="29" t="s">
        <v>1436</v>
      </c>
      <c r="E368" s="29">
        <v>0</v>
      </c>
      <c r="F368" s="29" t="s">
        <v>1515</v>
      </c>
      <c r="G368" s="29" t="s">
        <v>1437</v>
      </c>
      <c r="H368" s="29">
        <v>2025</v>
      </c>
      <c r="I368" s="29" t="s">
        <v>1531</v>
      </c>
      <c r="J368" s="29"/>
      <c r="K368" s="29"/>
      <c r="L368" s="38" t="s">
        <v>1534</v>
      </c>
      <c r="M368" s="29">
        <v>367</v>
      </c>
    </row>
    <row r="369" spans="1:13">
      <c r="A369" s="29">
        <v>368</v>
      </c>
      <c r="B369" s="38" t="s">
        <v>467</v>
      </c>
      <c r="C369" s="29" t="s">
        <v>1438</v>
      </c>
      <c r="D369" s="29" t="s">
        <v>1439</v>
      </c>
      <c r="E369" s="29">
        <v>0</v>
      </c>
      <c r="F369" s="29" t="s">
        <v>1515</v>
      </c>
      <c r="G369" s="29" t="s">
        <v>621</v>
      </c>
      <c r="H369" s="29">
        <v>2025</v>
      </c>
      <c r="I369" s="29" t="s">
        <v>1531</v>
      </c>
      <c r="J369" s="29"/>
      <c r="K369" s="29"/>
      <c r="L369" s="38" t="s">
        <v>1534</v>
      </c>
      <c r="M369" s="29">
        <v>368</v>
      </c>
    </row>
    <row r="370" spans="1:13">
      <c r="A370" s="29">
        <v>369</v>
      </c>
      <c r="B370" s="38" t="s">
        <v>467</v>
      </c>
      <c r="C370" s="29" t="s">
        <v>1440</v>
      </c>
      <c r="D370" s="29" t="s">
        <v>1441</v>
      </c>
      <c r="E370" s="29">
        <v>1</v>
      </c>
      <c r="F370" s="29" t="s">
        <v>1515</v>
      </c>
      <c r="G370" s="29" t="s">
        <v>1442</v>
      </c>
      <c r="H370" s="29">
        <v>2025</v>
      </c>
      <c r="I370" s="29" t="s">
        <v>1536</v>
      </c>
      <c r="J370" s="29" t="s">
        <v>1536</v>
      </c>
      <c r="K370" s="29" t="s">
        <v>1536</v>
      </c>
      <c r="L370" s="38"/>
      <c r="M370" s="29">
        <v>369</v>
      </c>
    </row>
    <row r="371" spans="1:13">
      <c r="A371" s="29">
        <v>370</v>
      </c>
      <c r="B371" s="38" t="s">
        <v>467</v>
      </c>
      <c r="C371" s="29" t="s">
        <v>1443</v>
      </c>
      <c r="D371" s="29" t="s">
        <v>1444</v>
      </c>
      <c r="E371" s="29">
        <v>0</v>
      </c>
      <c r="F371" s="29" t="s">
        <v>1515</v>
      </c>
      <c r="G371" s="29" t="s">
        <v>1445</v>
      </c>
      <c r="H371" s="29">
        <v>2025</v>
      </c>
      <c r="I371" s="29" t="s">
        <v>1531</v>
      </c>
      <c r="J371" s="29"/>
      <c r="K371" s="29"/>
      <c r="L371" s="38" t="s">
        <v>1534</v>
      </c>
      <c r="M371" s="29">
        <v>370</v>
      </c>
    </row>
    <row r="372" spans="1:13">
      <c r="A372" s="29">
        <v>371</v>
      </c>
      <c r="B372" s="38" t="s">
        <v>467</v>
      </c>
      <c r="C372" s="29" t="s">
        <v>1446</v>
      </c>
      <c r="D372" s="29" t="s">
        <v>1447</v>
      </c>
      <c r="E372" s="29">
        <v>0</v>
      </c>
      <c r="F372" s="29" t="s">
        <v>1515</v>
      </c>
      <c r="G372" s="29" t="s">
        <v>493</v>
      </c>
      <c r="H372" s="29">
        <v>2025</v>
      </c>
      <c r="I372" s="29" t="s">
        <v>1531</v>
      </c>
      <c r="J372" s="29"/>
      <c r="K372" s="29"/>
      <c r="L372" s="38" t="s">
        <v>1534</v>
      </c>
      <c r="M372" s="29">
        <v>371</v>
      </c>
    </row>
    <row r="373" spans="1:13">
      <c r="A373" s="29">
        <v>372</v>
      </c>
      <c r="B373" s="38" t="s">
        <v>467</v>
      </c>
      <c r="C373" s="29" t="s">
        <v>1448</v>
      </c>
      <c r="D373" s="29" t="s">
        <v>1449</v>
      </c>
      <c r="E373" s="29">
        <v>0</v>
      </c>
      <c r="F373" s="29" t="s">
        <v>1515</v>
      </c>
      <c r="G373" s="29" t="s">
        <v>1076</v>
      </c>
      <c r="H373" s="29">
        <v>2025</v>
      </c>
      <c r="I373" s="29" t="s">
        <v>1531</v>
      </c>
      <c r="J373" s="29"/>
      <c r="K373" s="29"/>
      <c r="L373" s="38" t="s">
        <v>1534</v>
      </c>
      <c r="M373" s="29">
        <v>372</v>
      </c>
    </row>
    <row r="374" spans="1:13">
      <c r="A374" s="29">
        <v>373</v>
      </c>
      <c r="B374" s="38" t="s">
        <v>467</v>
      </c>
      <c r="C374" s="29" t="s">
        <v>1450</v>
      </c>
      <c r="D374" s="29" t="s">
        <v>1451</v>
      </c>
      <c r="E374" s="29">
        <v>0</v>
      </c>
      <c r="F374" s="29" t="s">
        <v>1515</v>
      </c>
      <c r="G374" s="29" t="s">
        <v>1452</v>
      </c>
      <c r="H374" s="29">
        <v>2025</v>
      </c>
      <c r="I374" s="29" t="s">
        <v>1531</v>
      </c>
      <c r="J374" s="29"/>
      <c r="K374" s="29"/>
      <c r="L374" s="38" t="s">
        <v>1534</v>
      </c>
      <c r="M374" s="29">
        <v>373</v>
      </c>
    </row>
    <row r="375" spans="1:13">
      <c r="A375" s="29">
        <v>374</v>
      </c>
      <c r="B375" s="38" t="s">
        <v>467</v>
      </c>
      <c r="C375" s="29" t="s">
        <v>1453</v>
      </c>
      <c r="D375" s="29" t="s">
        <v>1454</v>
      </c>
      <c r="E375" s="29">
        <v>0</v>
      </c>
      <c r="F375" s="29" t="s">
        <v>1515</v>
      </c>
      <c r="G375" s="29" t="s">
        <v>1455</v>
      </c>
      <c r="H375" s="29">
        <v>2025</v>
      </c>
      <c r="I375" s="29" t="s">
        <v>1536</v>
      </c>
      <c r="J375" s="29" t="s">
        <v>1536</v>
      </c>
      <c r="K375" s="29" t="s">
        <v>1531</v>
      </c>
      <c r="L375" s="38" t="s">
        <v>1609</v>
      </c>
      <c r="M375" s="29">
        <v>374</v>
      </c>
    </row>
    <row r="376" spans="1:13">
      <c r="A376" s="29">
        <v>375</v>
      </c>
      <c r="B376" s="38" t="s">
        <v>467</v>
      </c>
      <c r="C376" s="29" t="s">
        <v>1456</v>
      </c>
      <c r="D376" s="29" t="s">
        <v>1457</v>
      </c>
      <c r="E376" s="29">
        <v>0</v>
      </c>
      <c r="F376" s="29" t="s">
        <v>1515</v>
      </c>
      <c r="G376" s="29" t="s">
        <v>1458</v>
      </c>
      <c r="H376" s="29">
        <v>2025</v>
      </c>
      <c r="I376" s="29" t="s">
        <v>1531</v>
      </c>
      <c r="J376" s="29"/>
      <c r="K376" s="29"/>
      <c r="L376" s="38" t="s">
        <v>1534</v>
      </c>
      <c r="M376" s="29">
        <v>375</v>
      </c>
    </row>
    <row r="377" spans="1:13">
      <c r="A377" s="29">
        <v>376</v>
      </c>
      <c r="B377" s="38" t="s">
        <v>467</v>
      </c>
      <c r="C377" s="29" t="s">
        <v>1459</v>
      </c>
      <c r="D377" s="29" t="s">
        <v>1460</v>
      </c>
      <c r="E377" s="29">
        <v>0</v>
      </c>
      <c r="F377" s="29" t="s">
        <v>1515</v>
      </c>
      <c r="G377" s="29" t="s">
        <v>1461</v>
      </c>
      <c r="H377" s="29">
        <v>2025</v>
      </c>
      <c r="I377" s="29" t="s">
        <v>1531</v>
      </c>
      <c r="J377" s="29"/>
      <c r="K377" s="29"/>
      <c r="L377" s="38" t="s">
        <v>1534</v>
      </c>
      <c r="M377" s="29">
        <v>376</v>
      </c>
    </row>
    <row r="378" spans="1:13">
      <c r="A378" s="29">
        <v>377</v>
      </c>
      <c r="B378" s="38" t="s">
        <v>467</v>
      </c>
      <c r="C378" s="29" t="s">
        <v>1462</v>
      </c>
      <c r="D378" s="29" t="s">
        <v>1463</v>
      </c>
      <c r="E378" s="29">
        <v>0</v>
      </c>
      <c r="F378" s="29" t="s">
        <v>1515</v>
      </c>
      <c r="G378" s="29" t="s">
        <v>1464</v>
      </c>
      <c r="H378" s="29">
        <v>2025</v>
      </c>
      <c r="I378" s="29" t="s">
        <v>1531</v>
      </c>
      <c r="J378" s="29"/>
      <c r="K378" s="29"/>
      <c r="L378" s="38" t="s">
        <v>1534</v>
      </c>
      <c r="M378" s="29">
        <v>377</v>
      </c>
    </row>
    <row r="379" spans="1:13">
      <c r="A379" s="29">
        <v>378</v>
      </c>
      <c r="B379" s="38" t="s">
        <v>467</v>
      </c>
      <c r="C379" s="29" t="s">
        <v>1465</v>
      </c>
      <c r="D379" s="29" t="s">
        <v>1466</v>
      </c>
      <c r="E379" s="29">
        <v>0</v>
      </c>
      <c r="F379" s="29" t="s">
        <v>1515</v>
      </c>
      <c r="G379" s="29" t="s">
        <v>1458</v>
      </c>
      <c r="H379" s="29">
        <v>2025</v>
      </c>
      <c r="I379" s="29" t="s">
        <v>1531</v>
      </c>
      <c r="J379" s="29"/>
      <c r="K379" s="29"/>
      <c r="L379" s="38" t="s">
        <v>1534</v>
      </c>
      <c r="M379" s="29">
        <v>378</v>
      </c>
    </row>
    <row r="380" spans="1:13">
      <c r="A380" s="29">
        <v>379</v>
      </c>
      <c r="B380" s="38" t="s">
        <v>467</v>
      </c>
      <c r="C380" s="29" t="s">
        <v>1467</v>
      </c>
      <c r="D380" s="29" t="s">
        <v>1468</v>
      </c>
      <c r="E380" s="29">
        <v>0</v>
      </c>
      <c r="F380" s="29" t="s">
        <v>1515</v>
      </c>
      <c r="G380" s="29" t="s">
        <v>1469</v>
      </c>
      <c r="H380" s="29">
        <v>2025</v>
      </c>
      <c r="I380" s="29" t="s">
        <v>1531</v>
      </c>
      <c r="J380" s="29"/>
      <c r="K380" s="29"/>
      <c r="L380" s="38" t="s">
        <v>1534</v>
      </c>
      <c r="M380" s="29">
        <v>379</v>
      </c>
    </row>
    <row r="381" spans="1:13">
      <c r="A381" s="29">
        <v>380</v>
      </c>
      <c r="B381" s="38" t="s">
        <v>467</v>
      </c>
      <c r="C381" s="29" t="s">
        <v>1470</v>
      </c>
      <c r="D381" s="29" t="s">
        <v>1471</v>
      </c>
      <c r="E381" s="29">
        <v>0</v>
      </c>
      <c r="F381" s="29" t="s">
        <v>1515</v>
      </c>
      <c r="G381" s="29" t="s">
        <v>1212</v>
      </c>
      <c r="H381" s="29">
        <v>2025</v>
      </c>
      <c r="I381" s="29" t="s">
        <v>1531</v>
      </c>
      <c r="J381" s="29"/>
      <c r="K381" s="29"/>
      <c r="L381" s="38" t="s">
        <v>1534</v>
      </c>
      <c r="M381" s="29">
        <v>380</v>
      </c>
    </row>
    <row r="382" spans="1:13">
      <c r="A382" s="29">
        <v>381</v>
      </c>
      <c r="B382" s="38" t="s">
        <v>467</v>
      </c>
      <c r="C382" s="29" t="s">
        <v>1472</v>
      </c>
      <c r="D382" s="29" t="s">
        <v>1473</v>
      </c>
      <c r="E382" s="29">
        <v>1</v>
      </c>
      <c r="F382" s="29" t="s">
        <v>1515</v>
      </c>
      <c r="G382" s="29" t="s">
        <v>1455</v>
      </c>
      <c r="H382" s="29">
        <v>2025</v>
      </c>
      <c r="I382" s="29" t="s">
        <v>1536</v>
      </c>
      <c r="J382" s="29" t="s">
        <v>1536</v>
      </c>
      <c r="K382" s="29" t="s">
        <v>1536</v>
      </c>
      <c r="L382" s="38"/>
      <c r="M382" s="29">
        <v>381</v>
      </c>
    </row>
    <row r="383" spans="1:13">
      <c r="A383" s="29">
        <v>382</v>
      </c>
      <c r="B383" s="38" t="s">
        <v>467</v>
      </c>
      <c r="C383" s="29" t="s">
        <v>1474</v>
      </c>
      <c r="D383" s="29" t="s">
        <v>1475</v>
      </c>
      <c r="E383" s="29">
        <v>0</v>
      </c>
      <c r="F383" s="29" t="s">
        <v>1515</v>
      </c>
      <c r="G383" s="29" t="s">
        <v>624</v>
      </c>
      <c r="H383" s="29">
        <v>2025</v>
      </c>
      <c r="I383" s="29" t="s">
        <v>1531</v>
      </c>
      <c r="J383" s="29"/>
      <c r="K383" s="29"/>
      <c r="L383" s="38" t="s">
        <v>1534</v>
      </c>
      <c r="M383" s="29">
        <v>382</v>
      </c>
    </row>
    <row r="384" spans="1:13">
      <c r="A384" s="29">
        <v>383</v>
      </c>
      <c r="B384" s="38" t="s">
        <v>467</v>
      </c>
      <c r="C384" s="29" t="s">
        <v>1476</v>
      </c>
      <c r="D384" s="29" t="s">
        <v>456</v>
      </c>
      <c r="E384" s="29">
        <v>1</v>
      </c>
      <c r="F384" s="29" t="s">
        <v>1515</v>
      </c>
      <c r="G384" s="29" t="s">
        <v>1455</v>
      </c>
      <c r="H384" s="29">
        <v>2025</v>
      </c>
      <c r="I384" s="29" t="s">
        <v>1536</v>
      </c>
      <c r="J384" s="29" t="s">
        <v>1536</v>
      </c>
      <c r="K384" s="29" t="s">
        <v>1536</v>
      </c>
      <c r="L384" s="38"/>
      <c r="M384" s="29">
        <v>383</v>
      </c>
    </row>
    <row r="385" spans="1:13">
      <c r="A385" s="29">
        <v>384</v>
      </c>
      <c r="B385" s="38" t="s">
        <v>467</v>
      </c>
      <c r="C385" s="29" t="s">
        <v>1477</v>
      </c>
      <c r="D385" s="29" t="s">
        <v>1478</v>
      </c>
      <c r="E385" s="29">
        <v>0</v>
      </c>
      <c r="F385" s="29" t="s">
        <v>1515</v>
      </c>
      <c r="G385" s="29" t="s">
        <v>1479</v>
      </c>
      <c r="H385" s="29">
        <v>2025</v>
      </c>
      <c r="I385" s="29" t="s">
        <v>1531</v>
      </c>
      <c r="J385" s="29"/>
      <c r="K385" s="29"/>
      <c r="L385" s="38" t="s">
        <v>1534</v>
      </c>
      <c r="M385" s="29">
        <v>384</v>
      </c>
    </row>
    <row r="386" spans="1:13">
      <c r="A386" s="29">
        <v>385</v>
      </c>
      <c r="B386" s="38" t="s">
        <v>467</v>
      </c>
      <c r="C386" s="29" t="s">
        <v>1480</v>
      </c>
      <c r="D386" s="29" t="s">
        <v>1481</v>
      </c>
      <c r="E386" s="29">
        <v>0</v>
      </c>
      <c r="F386" s="29" t="s">
        <v>1515</v>
      </c>
      <c r="G386" s="29" t="s">
        <v>1482</v>
      </c>
      <c r="H386" s="29">
        <v>2025</v>
      </c>
      <c r="I386" s="29" t="s">
        <v>1531</v>
      </c>
      <c r="J386" s="29"/>
      <c r="K386" s="29"/>
      <c r="L386" s="38" t="s">
        <v>1534</v>
      </c>
      <c r="M386" s="29">
        <v>385</v>
      </c>
    </row>
    <row r="387" spans="1:13">
      <c r="A387" s="29">
        <v>386</v>
      </c>
      <c r="B387" s="38" t="s">
        <v>467</v>
      </c>
      <c r="C387" s="29" t="s">
        <v>1483</v>
      </c>
      <c r="D387" s="29" t="s">
        <v>1484</v>
      </c>
      <c r="E387" s="29">
        <v>0</v>
      </c>
      <c r="F387" s="29" t="s">
        <v>1515</v>
      </c>
      <c r="G387" s="29" t="s">
        <v>1485</v>
      </c>
      <c r="H387" s="29">
        <v>2025</v>
      </c>
      <c r="I387" s="29" t="s">
        <v>1531</v>
      </c>
      <c r="J387" s="29"/>
      <c r="K387" s="29"/>
      <c r="L387" s="38" t="s">
        <v>1534</v>
      </c>
      <c r="M387" s="29">
        <v>386</v>
      </c>
    </row>
    <row r="388" spans="1:13">
      <c r="A388" s="29">
        <v>387</v>
      </c>
      <c r="B388" s="38" t="s">
        <v>467</v>
      </c>
      <c r="C388" s="29" t="s">
        <v>1486</v>
      </c>
      <c r="D388" s="29" t="s">
        <v>1487</v>
      </c>
      <c r="E388" s="29">
        <v>0</v>
      </c>
      <c r="F388" s="29" t="s">
        <v>1515</v>
      </c>
      <c r="G388" s="29" t="s">
        <v>588</v>
      </c>
      <c r="H388" s="29">
        <v>2025</v>
      </c>
      <c r="I388" s="29" t="s">
        <v>1531</v>
      </c>
      <c r="J388" s="29"/>
      <c r="K388" s="29"/>
      <c r="L388" s="38" t="s">
        <v>1534</v>
      </c>
      <c r="M388" s="29">
        <v>387</v>
      </c>
    </row>
    <row r="389" spans="1:13">
      <c r="A389" s="29">
        <v>388</v>
      </c>
      <c r="B389" s="38" t="s">
        <v>467</v>
      </c>
      <c r="C389" s="29" t="s">
        <v>1488</v>
      </c>
      <c r="D389" s="29" t="s">
        <v>1489</v>
      </c>
      <c r="E389" s="29">
        <v>0</v>
      </c>
      <c r="F389" s="29" t="s">
        <v>1516</v>
      </c>
      <c r="G389" s="29" t="s">
        <v>1490</v>
      </c>
      <c r="H389" s="29">
        <v>2025</v>
      </c>
      <c r="I389" s="29" t="s">
        <v>1531</v>
      </c>
      <c r="J389" s="29"/>
      <c r="K389" s="29"/>
      <c r="L389" s="38" t="s">
        <v>1532</v>
      </c>
      <c r="M389" s="29">
        <v>388</v>
      </c>
    </row>
    <row r="390" spans="1:13">
      <c r="A390" s="29">
        <v>389</v>
      </c>
      <c r="B390" s="38" t="s">
        <v>467</v>
      </c>
      <c r="C390" s="29" t="s">
        <v>1491</v>
      </c>
      <c r="D390" s="29" t="s">
        <v>1492</v>
      </c>
      <c r="E390" s="29">
        <v>0</v>
      </c>
      <c r="F390" s="29" t="s">
        <v>1515</v>
      </c>
      <c r="G390" s="29" t="s">
        <v>1358</v>
      </c>
      <c r="H390" s="29">
        <v>2025</v>
      </c>
      <c r="I390" s="29" t="s">
        <v>1531</v>
      </c>
      <c r="J390" s="29"/>
      <c r="K390" s="29"/>
      <c r="L390" s="38" t="s">
        <v>1534</v>
      </c>
      <c r="M390" s="29">
        <v>389</v>
      </c>
    </row>
    <row r="391" spans="1:13">
      <c r="A391" s="29">
        <v>390</v>
      </c>
      <c r="B391" s="38" t="s">
        <v>467</v>
      </c>
      <c r="C391" s="29" t="s">
        <v>1493</v>
      </c>
      <c r="D391" s="29" t="s">
        <v>1494</v>
      </c>
      <c r="E391" s="29">
        <v>0</v>
      </c>
      <c r="F391" s="29" t="s">
        <v>1515</v>
      </c>
      <c r="G391" s="29" t="s">
        <v>1153</v>
      </c>
      <c r="H391" s="29">
        <v>2025</v>
      </c>
      <c r="I391" s="29" t="s">
        <v>1531</v>
      </c>
      <c r="J391" s="29"/>
      <c r="K391" s="29"/>
      <c r="L391" s="38" t="s">
        <v>1534</v>
      </c>
      <c r="M391" s="29">
        <v>390</v>
      </c>
    </row>
    <row r="392" spans="1:13">
      <c r="A392" s="29">
        <v>391</v>
      </c>
      <c r="B392" s="38" t="s">
        <v>1529</v>
      </c>
      <c r="C392" s="29" t="s">
        <v>1610</v>
      </c>
      <c r="D392" s="29" t="s">
        <v>1611</v>
      </c>
      <c r="E392" s="29">
        <v>0</v>
      </c>
      <c r="F392" s="29" t="s">
        <v>1603</v>
      </c>
      <c r="G392" s="29" t="s">
        <v>1518</v>
      </c>
      <c r="H392" s="29">
        <v>2025</v>
      </c>
      <c r="I392" s="29" t="s">
        <v>1536</v>
      </c>
      <c r="J392" s="29" t="s">
        <v>1536</v>
      </c>
      <c r="K392" s="29" t="s">
        <v>1531</v>
      </c>
      <c r="L392" s="38" t="s">
        <v>1604</v>
      </c>
      <c r="M392" s="29">
        <v>391</v>
      </c>
    </row>
    <row r="393" spans="1:13" ht="26.4">
      <c r="A393" s="29">
        <v>392</v>
      </c>
      <c r="B393" s="38" t="s">
        <v>1529</v>
      </c>
      <c r="C393" s="29" t="s">
        <v>1612</v>
      </c>
      <c r="D393" s="29" t="s">
        <v>1613</v>
      </c>
      <c r="E393" s="29">
        <v>0</v>
      </c>
      <c r="F393" s="29" t="s">
        <v>1603</v>
      </c>
      <c r="G393" s="29" t="s">
        <v>1517</v>
      </c>
      <c r="H393" s="29">
        <v>2025</v>
      </c>
      <c r="I393" s="29" t="s">
        <v>1536</v>
      </c>
      <c r="J393" s="29" t="s">
        <v>1536</v>
      </c>
      <c r="K393" s="29" t="s">
        <v>1531</v>
      </c>
      <c r="L393" s="38" t="s">
        <v>1614</v>
      </c>
      <c r="M393" s="29">
        <v>392</v>
      </c>
    </row>
    <row r="394" spans="1:13">
      <c r="A394" s="29">
        <v>393</v>
      </c>
      <c r="B394" s="38" t="s">
        <v>467</v>
      </c>
      <c r="C394" s="29" t="s">
        <v>1615</v>
      </c>
      <c r="D394" s="29" t="s">
        <v>1616</v>
      </c>
      <c r="E394" s="29">
        <v>0</v>
      </c>
      <c r="F394" s="29" t="s">
        <v>1603</v>
      </c>
      <c r="G394" s="29" t="s">
        <v>1038</v>
      </c>
      <c r="H394" s="29">
        <v>2025</v>
      </c>
      <c r="I394" s="29" t="s">
        <v>1536</v>
      </c>
      <c r="J394" s="29" t="s">
        <v>1536</v>
      </c>
      <c r="K394" s="29" t="s">
        <v>1531</v>
      </c>
      <c r="L394" s="38" t="s">
        <v>1617</v>
      </c>
      <c r="M394" s="29">
        <v>393</v>
      </c>
    </row>
    <row r="395" spans="1:13" ht="26.4">
      <c r="A395" s="29">
        <v>394</v>
      </c>
      <c r="B395" s="38" t="s">
        <v>1529</v>
      </c>
      <c r="C395" s="29" t="s">
        <v>1618</v>
      </c>
      <c r="D395" s="29" t="s">
        <v>1619</v>
      </c>
      <c r="E395" s="29">
        <v>0</v>
      </c>
      <c r="F395" s="29" t="s">
        <v>1603</v>
      </c>
      <c r="G395" s="29" t="s">
        <v>1038</v>
      </c>
      <c r="H395" s="29">
        <v>2025</v>
      </c>
      <c r="I395" s="29" t="s">
        <v>1536</v>
      </c>
      <c r="J395" s="29" t="s">
        <v>1536</v>
      </c>
      <c r="K395" s="29" t="s">
        <v>1531</v>
      </c>
      <c r="L395" s="38" t="s">
        <v>1620</v>
      </c>
      <c r="M395" s="29">
        <v>394</v>
      </c>
    </row>
    <row r="396" spans="1:13" ht="26.4">
      <c r="A396" s="29">
        <v>395</v>
      </c>
      <c r="B396" s="38" t="s">
        <v>1529</v>
      </c>
      <c r="C396" s="29" t="s">
        <v>1621</v>
      </c>
      <c r="D396" s="29" t="s">
        <v>1622</v>
      </c>
      <c r="E396" s="29">
        <v>0</v>
      </c>
      <c r="F396" s="29" t="s">
        <v>1603</v>
      </c>
      <c r="G396" s="29" t="s">
        <v>1519</v>
      </c>
      <c r="H396" s="29">
        <v>2025</v>
      </c>
      <c r="I396" s="29" t="s">
        <v>1536</v>
      </c>
      <c r="J396" s="29" t="s">
        <v>1536</v>
      </c>
      <c r="K396" s="29" t="s">
        <v>1531</v>
      </c>
      <c r="L396" s="38" t="s">
        <v>1623</v>
      </c>
      <c r="M396" s="29">
        <v>395</v>
      </c>
    </row>
  </sheetData>
  <phoneticPr fontId="3" type="noConversion"/>
  <conditionalFormatting sqref="A2:M19135">
    <cfRule type="expression" dxfId="60" priority="1">
      <formula>$E2=1</formula>
    </cfRule>
  </conditionalFormatting>
  <pageMargins left="0.75" right="0.75" top="1" bottom="1" header="0.5" footer="0.5"/>
  <pageSetup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208E5-1674-4D06-B69D-7AD9E2084B26}">
  <sheetPr>
    <tabColor rgb="FFFFFF00"/>
  </sheetPr>
  <dimension ref="A1:D42"/>
  <sheetViews>
    <sheetView workbookViewId="0">
      <selection activeCell="D1" sqref="D1"/>
    </sheetView>
  </sheetViews>
  <sheetFormatPr defaultColWidth="9" defaultRowHeight="13.2"/>
  <cols>
    <col min="1" max="1" width="10.69921875" style="42" customWidth="1"/>
    <col min="2" max="3" width="75.69921875" style="33" customWidth="1"/>
    <col min="4" max="16384" width="9" style="42"/>
  </cols>
  <sheetData>
    <row r="1" spans="1:4">
      <c r="A1" s="43" t="s">
        <v>1625</v>
      </c>
      <c r="B1" s="41" t="s">
        <v>460</v>
      </c>
      <c r="C1" s="41" t="s">
        <v>461</v>
      </c>
      <c r="D1" s="41" t="s">
        <v>1624</v>
      </c>
    </row>
    <row r="2" spans="1:4">
      <c r="A2" s="30">
        <v>1</v>
      </c>
      <c r="B2" s="40" t="s">
        <v>396</v>
      </c>
      <c r="C2" s="30" t="s">
        <v>397</v>
      </c>
      <c r="D2" s="41">
        <f>VLOOKUP(B2, '395Papers'!D$2:M$396, 10, 0)</f>
        <v>258</v>
      </c>
    </row>
    <row r="3" spans="1:4" ht="26.4">
      <c r="A3" s="30">
        <v>2</v>
      </c>
      <c r="B3" s="31" t="s">
        <v>1495</v>
      </c>
      <c r="C3" s="30" t="s">
        <v>398</v>
      </c>
      <c r="D3" s="41">
        <f>VLOOKUP(B3, '395Papers'!D$2:M$396, 10, 0)</f>
        <v>244</v>
      </c>
    </row>
    <row r="4" spans="1:4">
      <c r="A4" s="30">
        <v>3</v>
      </c>
      <c r="B4" s="40" t="s">
        <v>1496</v>
      </c>
      <c r="C4" s="30" t="s">
        <v>399</v>
      </c>
      <c r="D4" s="41">
        <f>VLOOKUP(B4, '395Papers'!D$2:M$396, 10, 0)</f>
        <v>176</v>
      </c>
    </row>
    <row r="5" spans="1:4" ht="26.4">
      <c r="A5" s="30">
        <v>4</v>
      </c>
      <c r="B5" s="40" t="s">
        <v>1497</v>
      </c>
      <c r="C5" s="30" t="s">
        <v>400</v>
      </c>
      <c r="D5" s="41">
        <f>VLOOKUP(B5, '395Papers'!D$2:M$396, 10, 0)</f>
        <v>346</v>
      </c>
    </row>
    <row r="6" spans="1:4" ht="26.4">
      <c r="A6" s="30">
        <v>5</v>
      </c>
      <c r="B6" s="40" t="s">
        <v>1498</v>
      </c>
      <c r="C6" s="30" t="s">
        <v>401</v>
      </c>
      <c r="D6" s="41">
        <f>VLOOKUP(B6, '395Papers'!D$2:M$396, 10, 0)</f>
        <v>80</v>
      </c>
    </row>
    <row r="7" spans="1:4" ht="26.4">
      <c r="A7" s="30">
        <v>6</v>
      </c>
      <c r="B7" s="40" t="s">
        <v>402</v>
      </c>
      <c r="C7" s="30" t="s">
        <v>403</v>
      </c>
      <c r="D7" s="41">
        <f>VLOOKUP(B7, '395Papers'!D$2:M$396, 10, 0)</f>
        <v>114</v>
      </c>
    </row>
    <row r="8" spans="1:4" ht="26.4">
      <c r="A8" s="30">
        <v>7</v>
      </c>
      <c r="B8" s="40" t="s">
        <v>1499</v>
      </c>
      <c r="C8" s="30" t="s">
        <v>404</v>
      </c>
      <c r="D8" s="41">
        <f>VLOOKUP(B8, '395Papers'!D$2:M$396, 10, 0)</f>
        <v>261</v>
      </c>
    </row>
    <row r="9" spans="1:4" ht="39.6">
      <c r="A9" s="30">
        <v>8</v>
      </c>
      <c r="B9" s="40" t="s">
        <v>405</v>
      </c>
      <c r="C9" s="30" t="s">
        <v>406</v>
      </c>
      <c r="D9" s="41">
        <f>VLOOKUP(B9, '395Papers'!D$2:M$396, 10, 0)</f>
        <v>314</v>
      </c>
    </row>
    <row r="10" spans="1:4">
      <c r="A10" s="30">
        <v>9</v>
      </c>
      <c r="B10" s="40" t="s">
        <v>407</v>
      </c>
      <c r="C10" s="30" t="s">
        <v>408</v>
      </c>
      <c r="D10" s="41">
        <f>VLOOKUP(B10, '395Papers'!D$2:M$396, 10, 0)</f>
        <v>253</v>
      </c>
    </row>
    <row r="11" spans="1:4">
      <c r="A11" s="30">
        <v>10</v>
      </c>
      <c r="B11" s="30" t="s">
        <v>1500</v>
      </c>
      <c r="C11" s="30" t="s">
        <v>409</v>
      </c>
      <c r="D11" s="41">
        <f>VLOOKUP(B11, '395Papers'!D$2:M$396, 10, 0)</f>
        <v>318</v>
      </c>
    </row>
    <row r="12" spans="1:4">
      <c r="A12" s="30">
        <v>11</v>
      </c>
      <c r="B12" s="30" t="s">
        <v>410</v>
      </c>
      <c r="C12" s="30" t="s">
        <v>411</v>
      </c>
      <c r="D12" s="41">
        <f>VLOOKUP(B12, '395Papers'!D$2:M$396, 10, 0)</f>
        <v>357</v>
      </c>
    </row>
    <row r="13" spans="1:4" ht="26.4">
      <c r="A13" s="30">
        <v>12</v>
      </c>
      <c r="B13" s="30" t="s">
        <v>1501</v>
      </c>
      <c r="C13" s="30" t="s">
        <v>412</v>
      </c>
      <c r="D13" s="41">
        <f>VLOOKUP(B13, '395Papers'!D$2:M$396, 10, 0)</f>
        <v>135</v>
      </c>
    </row>
    <row r="14" spans="1:4" ht="26.4">
      <c r="A14" s="30">
        <v>13</v>
      </c>
      <c r="B14" s="40" t="s">
        <v>1502</v>
      </c>
      <c r="C14" s="30" t="s">
        <v>413</v>
      </c>
      <c r="D14" s="41">
        <f>VLOOKUP(B14, '395Papers'!D$2:M$396, 10, 0)</f>
        <v>238</v>
      </c>
    </row>
    <row r="15" spans="1:4">
      <c r="A15" s="30">
        <v>14</v>
      </c>
      <c r="B15" s="40" t="s">
        <v>1360</v>
      </c>
      <c r="C15" s="30" t="s">
        <v>414</v>
      </c>
      <c r="D15" s="41">
        <f>VLOOKUP(B15, '395Papers'!D$2:M$396, 10, 0)</f>
        <v>337</v>
      </c>
    </row>
    <row r="16" spans="1:4">
      <c r="A16" s="30">
        <v>15</v>
      </c>
      <c r="B16" s="40" t="s">
        <v>415</v>
      </c>
      <c r="C16" s="30" t="s">
        <v>416</v>
      </c>
      <c r="D16" s="41">
        <f>VLOOKUP(B16, '395Papers'!D$2:M$396, 10, 0)</f>
        <v>129</v>
      </c>
    </row>
    <row r="17" spans="1:4">
      <c r="A17" s="30">
        <v>16</v>
      </c>
      <c r="B17" s="40" t="s">
        <v>1503</v>
      </c>
      <c r="C17" s="30" t="s">
        <v>417</v>
      </c>
      <c r="D17" s="41">
        <f>VLOOKUP(B17, '395Papers'!D$2:M$396, 10, 0)</f>
        <v>27</v>
      </c>
    </row>
    <row r="18" spans="1:4" ht="26.4">
      <c r="A18" s="30">
        <v>17</v>
      </c>
      <c r="B18" s="30" t="s">
        <v>418</v>
      </c>
      <c r="C18" s="30" t="s">
        <v>419</v>
      </c>
      <c r="D18" s="41">
        <f>VLOOKUP(B18, '395Papers'!D$2:M$396, 10, 0)</f>
        <v>126</v>
      </c>
    </row>
    <row r="19" spans="1:4" ht="26.4">
      <c r="A19" s="30">
        <v>18</v>
      </c>
      <c r="B19" s="40" t="s">
        <v>1504</v>
      </c>
      <c r="C19" s="30" t="s">
        <v>420</v>
      </c>
      <c r="D19" s="41">
        <f>VLOOKUP(B19, '395Papers'!D$2:M$396, 10, 0)</f>
        <v>246</v>
      </c>
    </row>
    <row r="20" spans="1:4" ht="26.4">
      <c r="A20" s="30">
        <v>19</v>
      </c>
      <c r="B20" s="30" t="s">
        <v>1505</v>
      </c>
      <c r="C20" s="30" t="s">
        <v>421</v>
      </c>
      <c r="D20" s="41">
        <f>VLOOKUP(B20, '395Papers'!D$2:M$396, 10, 0)</f>
        <v>117</v>
      </c>
    </row>
    <row r="21" spans="1:4" ht="52.8">
      <c r="A21" s="30">
        <v>20</v>
      </c>
      <c r="B21" s="30" t="s">
        <v>422</v>
      </c>
      <c r="C21" s="30" t="s">
        <v>423</v>
      </c>
      <c r="D21" s="41">
        <f>VLOOKUP(B21, '395Papers'!D$2:M$396, 10, 0)</f>
        <v>7</v>
      </c>
    </row>
    <row r="22" spans="1:4">
      <c r="A22" s="30">
        <v>21</v>
      </c>
      <c r="B22" s="32" t="s">
        <v>1506</v>
      </c>
      <c r="C22" s="30" t="s">
        <v>424</v>
      </c>
      <c r="D22" s="41">
        <f>VLOOKUP(B22, '395Papers'!D$2:M$396, 10, 0)</f>
        <v>274</v>
      </c>
    </row>
    <row r="23" spans="1:4">
      <c r="A23" s="30">
        <v>22</v>
      </c>
      <c r="B23" s="40" t="s">
        <v>1507</v>
      </c>
      <c r="C23" s="30" t="s">
        <v>425</v>
      </c>
      <c r="D23" s="41">
        <f>VLOOKUP(B23, '395Papers'!D$2:M$396, 10, 0)</f>
        <v>271</v>
      </c>
    </row>
    <row r="24" spans="1:4" ht="26.4">
      <c r="A24" s="30">
        <v>23</v>
      </c>
      <c r="B24" s="30" t="s">
        <v>426</v>
      </c>
      <c r="C24" s="30" t="s">
        <v>427</v>
      </c>
      <c r="D24" s="41">
        <f>VLOOKUP(B24, '395Papers'!D$2:M$396, 10, 0)</f>
        <v>369</v>
      </c>
    </row>
    <row r="25" spans="1:4" ht="26.4">
      <c r="A25" s="30">
        <v>24</v>
      </c>
      <c r="B25" s="30" t="s">
        <v>428</v>
      </c>
      <c r="C25" s="30" t="s">
        <v>429</v>
      </c>
      <c r="D25" s="41">
        <f>VLOOKUP(B25, '395Papers'!D$2:M$396, 10, 0)</f>
        <v>268</v>
      </c>
    </row>
    <row r="26" spans="1:4" ht="26.4">
      <c r="A26" s="30">
        <v>25</v>
      </c>
      <c r="B26" s="30" t="s">
        <v>1508</v>
      </c>
      <c r="C26" s="30" t="s">
        <v>430</v>
      </c>
      <c r="D26" s="41">
        <f>VLOOKUP(B26, '395Papers'!D$2:M$396, 10, 0)</f>
        <v>61</v>
      </c>
    </row>
    <row r="27" spans="1:4" ht="26.4">
      <c r="A27" s="30">
        <v>26</v>
      </c>
      <c r="B27" s="40" t="s">
        <v>1404</v>
      </c>
      <c r="C27" s="30" t="s">
        <v>431</v>
      </c>
      <c r="D27" s="41">
        <f>VLOOKUP(B27, '395Papers'!D$2:M$396, 10, 0)</f>
        <v>355</v>
      </c>
    </row>
    <row r="28" spans="1:4" ht="26.4">
      <c r="A28" s="30">
        <v>27</v>
      </c>
      <c r="B28" s="30" t="s">
        <v>432</v>
      </c>
      <c r="C28" s="30" t="s">
        <v>433</v>
      </c>
      <c r="D28" s="41">
        <f>VLOOKUP(B28, '395Papers'!D$2:M$396, 10, 0)</f>
        <v>342</v>
      </c>
    </row>
    <row r="29" spans="1:4" ht="26.4">
      <c r="A29" s="30">
        <v>28</v>
      </c>
      <c r="B29" s="30" t="s">
        <v>434</v>
      </c>
      <c r="C29" s="30" t="s">
        <v>435</v>
      </c>
      <c r="D29" s="41">
        <f>VLOOKUP(B29, '395Papers'!D$2:M$396, 10, 0)</f>
        <v>14</v>
      </c>
    </row>
    <row r="30" spans="1:4" ht="26.4">
      <c r="A30" s="30">
        <v>29</v>
      </c>
      <c r="B30" s="30" t="s">
        <v>436</v>
      </c>
      <c r="C30" s="30" t="s">
        <v>437</v>
      </c>
      <c r="D30" s="41">
        <f>VLOOKUP(B30, '395Papers'!D$2:M$396, 10, 0)</f>
        <v>327</v>
      </c>
    </row>
    <row r="31" spans="1:4" ht="26.4">
      <c r="A31" s="30">
        <v>30</v>
      </c>
      <c r="B31" s="30" t="s">
        <v>1509</v>
      </c>
      <c r="C31" s="30" t="s">
        <v>438</v>
      </c>
      <c r="D31" s="41">
        <f>VLOOKUP(B31, '395Papers'!D$2:M$396, 10, 0)</f>
        <v>381</v>
      </c>
    </row>
    <row r="32" spans="1:4" ht="52.8">
      <c r="A32" s="30">
        <v>31</v>
      </c>
      <c r="B32" s="30" t="s">
        <v>439</v>
      </c>
      <c r="C32" s="30" t="s">
        <v>440</v>
      </c>
      <c r="D32" s="41">
        <f>VLOOKUP(B32, '395Papers'!D$2:M$396, 10, 0)</f>
        <v>113</v>
      </c>
    </row>
    <row r="33" spans="1:4" ht="52.8">
      <c r="A33" s="30">
        <v>32</v>
      </c>
      <c r="B33" s="30" t="s">
        <v>441</v>
      </c>
      <c r="C33" s="30" t="s">
        <v>442</v>
      </c>
      <c r="D33" s="41">
        <f>VLOOKUP(B33, '395Papers'!D$2:M$396, 10, 0)</f>
        <v>299</v>
      </c>
    </row>
    <row r="34" spans="1:4" ht="39.6">
      <c r="A34" s="30">
        <v>33</v>
      </c>
      <c r="B34" s="30" t="s">
        <v>443</v>
      </c>
      <c r="C34" s="30" t="s">
        <v>444</v>
      </c>
      <c r="D34" s="41">
        <f>VLOOKUP(B34, '395Papers'!D$2:M$396, 10, 0)</f>
        <v>315</v>
      </c>
    </row>
    <row r="35" spans="1:4">
      <c r="A35" s="30">
        <v>34</v>
      </c>
      <c r="B35" s="30" t="s">
        <v>445</v>
      </c>
      <c r="C35" s="30" t="s">
        <v>446</v>
      </c>
      <c r="D35" s="41">
        <f>VLOOKUP(B35, '395Papers'!D$2:M$396, 10, 0)</f>
        <v>245</v>
      </c>
    </row>
    <row r="36" spans="1:4" ht="26.4">
      <c r="A36" s="30">
        <v>35</v>
      </c>
      <c r="B36" s="30" t="s">
        <v>447</v>
      </c>
      <c r="C36" s="30" t="s">
        <v>448</v>
      </c>
      <c r="D36" s="41">
        <f>VLOOKUP(B36, '395Papers'!D$2:M$396, 10, 0)</f>
        <v>148</v>
      </c>
    </row>
    <row r="37" spans="1:4" ht="26.4">
      <c r="A37" s="30">
        <v>36</v>
      </c>
      <c r="B37" s="30" t="s">
        <v>449</v>
      </c>
      <c r="C37" s="40" t="s">
        <v>450</v>
      </c>
      <c r="D37" s="41">
        <f>VLOOKUP(B37, '395Papers'!D$2:M$396, 10, 0)</f>
        <v>366</v>
      </c>
    </row>
    <row r="38" spans="1:4" ht="79.2">
      <c r="A38" s="30">
        <v>37</v>
      </c>
      <c r="B38" s="32" t="s">
        <v>1510</v>
      </c>
      <c r="C38" s="30" t="s">
        <v>451</v>
      </c>
      <c r="D38" s="41">
        <f>VLOOKUP(B38, '395Papers'!D$2:M$396, 10, 0)</f>
        <v>202</v>
      </c>
    </row>
    <row r="39" spans="1:4" ht="26.4">
      <c r="A39" s="30">
        <v>38</v>
      </c>
      <c r="B39" s="30" t="s">
        <v>1511</v>
      </c>
      <c r="C39" s="30" t="s">
        <v>452</v>
      </c>
      <c r="D39" s="41">
        <f>VLOOKUP(B39, '395Papers'!D$2:M$396, 10, 0)</f>
        <v>212</v>
      </c>
    </row>
    <row r="40" spans="1:4" ht="26.4">
      <c r="A40" s="30">
        <v>39</v>
      </c>
      <c r="B40" s="30" t="s">
        <v>453</v>
      </c>
      <c r="C40" s="30" t="s">
        <v>454</v>
      </c>
      <c r="D40" s="41">
        <f>VLOOKUP(B40, '395Papers'!D$2:M$396, 10, 0)</f>
        <v>313</v>
      </c>
    </row>
    <row r="41" spans="1:4" ht="26.4">
      <c r="A41" s="30">
        <v>40</v>
      </c>
      <c r="B41" s="30" t="s">
        <v>1512</v>
      </c>
      <c r="C41" s="30" t="s">
        <v>455</v>
      </c>
      <c r="D41" s="41">
        <f>VLOOKUP(B41, '395Papers'!D$2:M$396, 10, 0)</f>
        <v>329</v>
      </c>
    </row>
    <row r="42" spans="1:4">
      <c r="A42" s="30">
        <v>41</v>
      </c>
      <c r="B42" s="40" t="s">
        <v>456</v>
      </c>
      <c r="C42" s="30" t="s">
        <v>457</v>
      </c>
      <c r="D42" s="41">
        <f>VLOOKUP(B42, '395Papers'!D$2:M$396, 10, 0)</f>
        <v>383</v>
      </c>
    </row>
  </sheetData>
  <phoneticPr fontId="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29F68-4962-4DEF-8534-A69B19981EF8}">
  <sheetPr>
    <tabColor rgb="FFFFFF00"/>
  </sheetPr>
  <dimension ref="A1:B273"/>
  <sheetViews>
    <sheetView topLeftCell="A245" workbookViewId="0">
      <selection activeCell="B260" sqref="B260"/>
    </sheetView>
  </sheetViews>
  <sheetFormatPr defaultColWidth="8.59765625" defaultRowHeight="13.2"/>
  <cols>
    <col min="1" max="1" width="17.59765625" style="2" bestFit="1" customWidth="1"/>
    <col min="2" max="2" width="65.59765625" style="2" bestFit="1" customWidth="1"/>
    <col min="3" max="16384" width="8.59765625" style="2"/>
  </cols>
  <sheetData>
    <row r="1" spans="1:2">
      <c r="A1" s="4" t="s">
        <v>458</v>
      </c>
      <c r="B1" s="4" t="s">
        <v>459</v>
      </c>
    </row>
    <row r="2" spans="1:2">
      <c r="A2" s="5">
        <v>1</v>
      </c>
      <c r="B2" s="5" t="s">
        <v>124</v>
      </c>
    </row>
    <row r="3" spans="1:2">
      <c r="A3" s="5">
        <v>1</v>
      </c>
      <c r="B3" s="5" t="s">
        <v>163</v>
      </c>
    </row>
    <row r="4" spans="1:2">
      <c r="A4" s="5">
        <v>1</v>
      </c>
      <c r="B4" s="5" t="s">
        <v>314</v>
      </c>
    </row>
    <row r="5" spans="1:2">
      <c r="A5" s="5">
        <v>1</v>
      </c>
      <c r="B5" s="5" t="s">
        <v>190</v>
      </c>
    </row>
    <row r="6" spans="1:2">
      <c r="A6" s="5">
        <v>1</v>
      </c>
      <c r="B6" s="5" t="s">
        <v>189</v>
      </c>
    </row>
    <row r="7" spans="1:2">
      <c r="A7" s="5">
        <v>2</v>
      </c>
      <c r="B7" s="5" t="s">
        <v>54</v>
      </c>
    </row>
    <row r="8" spans="1:2">
      <c r="A8" s="5">
        <v>2</v>
      </c>
      <c r="B8" s="5" t="s">
        <v>58</v>
      </c>
    </row>
    <row r="9" spans="1:2">
      <c r="A9" s="5">
        <v>2</v>
      </c>
      <c r="B9" s="5" t="s">
        <v>192</v>
      </c>
    </row>
    <row r="10" spans="1:2">
      <c r="A10" s="5">
        <v>2</v>
      </c>
      <c r="B10" s="5" t="s">
        <v>315</v>
      </c>
    </row>
    <row r="11" spans="1:2">
      <c r="A11" s="5">
        <v>2</v>
      </c>
      <c r="B11" s="5" t="s">
        <v>191</v>
      </c>
    </row>
    <row r="12" spans="1:2">
      <c r="A12" s="5">
        <v>2</v>
      </c>
      <c r="B12" s="5" t="s">
        <v>193</v>
      </c>
    </row>
    <row r="13" spans="1:2">
      <c r="A13" s="5">
        <v>3</v>
      </c>
      <c r="B13" s="5" t="s">
        <v>316</v>
      </c>
    </row>
    <row r="14" spans="1:2">
      <c r="A14" s="5">
        <v>3</v>
      </c>
      <c r="B14" s="5" t="s">
        <v>195</v>
      </c>
    </row>
    <row r="15" spans="1:2">
      <c r="A15" s="5">
        <v>3</v>
      </c>
      <c r="B15" s="5" t="s">
        <v>196</v>
      </c>
    </row>
    <row r="16" spans="1:2">
      <c r="A16" s="5">
        <v>3</v>
      </c>
      <c r="B16" s="5" t="s">
        <v>194</v>
      </c>
    </row>
    <row r="17" spans="1:2">
      <c r="A17" s="5">
        <v>4</v>
      </c>
      <c r="B17" s="5" t="s">
        <v>197</v>
      </c>
    </row>
    <row r="18" spans="1:2">
      <c r="A18" s="5">
        <v>4</v>
      </c>
      <c r="B18" s="5" t="s">
        <v>317</v>
      </c>
    </row>
    <row r="19" spans="1:2">
      <c r="A19" s="5">
        <v>4</v>
      </c>
      <c r="B19" s="5" t="s">
        <v>126</v>
      </c>
    </row>
    <row r="20" spans="1:2">
      <c r="A20" s="5">
        <v>4</v>
      </c>
      <c r="B20" s="5" t="s">
        <v>164</v>
      </c>
    </row>
    <row r="21" spans="1:2">
      <c r="A21" s="5">
        <v>5</v>
      </c>
      <c r="B21" s="5" t="s">
        <v>129</v>
      </c>
    </row>
    <row r="22" spans="1:2">
      <c r="A22" s="5">
        <v>5</v>
      </c>
      <c r="B22" s="5" t="s">
        <v>131</v>
      </c>
    </row>
    <row r="23" spans="1:2">
      <c r="A23" s="5">
        <v>5</v>
      </c>
      <c r="B23" s="5" t="s">
        <v>127</v>
      </c>
    </row>
    <row r="24" spans="1:2">
      <c r="A24" s="5">
        <v>5</v>
      </c>
      <c r="B24" s="5" t="s">
        <v>130</v>
      </c>
    </row>
    <row r="25" spans="1:2">
      <c r="A25" s="5">
        <v>6</v>
      </c>
      <c r="B25" s="5" t="s">
        <v>318</v>
      </c>
    </row>
    <row r="26" spans="1:2">
      <c r="A26" s="5">
        <v>6</v>
      </c>
      <c r="B26" s="5" t="s">
        <v>314</v>
      </c>
    </row>
    <row r="27" spans="1:2">
      <c r="A27" s="5">
        <v>6</v>
      </c>
      <c r="B27" s="5" t="s">
        <v>190</v>
      </c>
    </row>
    <row r="28" spans="1:2">
      <c r="A28" s="5">
        <v>6</v>
      </c>
      <c r="B28" s="5" t="s">
        <v>198</v>
      </c>
    </row>
    <row r="29" spans="1:2">
      <c r="A29" s="5">
        <v>7</v>
      </c>
      <c r="B29" s="5" t="s">
        <v>319</v>
      </c>
    </row>
    <row r="30" spans="1:2">
      <c r="A30" s="5">
        <v>7</v>
      </c>
      <c r="B30" s="5" t="s">
        <v>321</v>
      </c>
    </row>
    <row r="31" spans="1:2">
      <c r="A31" s="5">
        <v>7</v>
      </c>
      <c r="B31" s="5" t="s">
        <v>200</v>
      </c>
    </row>
    <row r="32" spans="1:2">
      <c r="A32" s="5">
        <v>7</v>
      </c>
      <c r="B32" s="5" t="s">
        <v>320</v>
      </c>
    </row>
    <row r="33" spans="1:2">
      <c r="A33" s="5">
        <v>7</v>
      </c>
      <c r="B33" s="5" t="s">
        <v>199</v>
      </c>
    </row>
    <row r="34" spans="1:2">
      <c r="A34" s="5">
        <v>7</v>
      </c>
      <c r="B34" s="5" t="s">
        <v>201</v>
      </c>
    </row>
    <row r="35" spans="1:2">
      <c r="A35" s="5">
        <v>8</v>
      </c>
      <c r="B35" s="5" t="s">
        <v>133</v>
      </c>
    </row>
    <row r="36" spans="1:2">
      <c r="A36" s="5">
        <v>8</v>
      </c>
      <c r="B36" s="5" t="s">
        <v>205</v>
      </c>
    </row>
    <row r="37" spans="1:2">
      <c r="A37" s="5">
        <v>8</v>
      </c>
      <c r="B37" s="5" t="s">
        <v>202</v>
      </c>
    </row>
    <row r="38" spans="1:2">
      <c r="A38" s="5">
        <v>8</v>
      </c>
      <c r="B38" s="5" t="s">
        <v>322</v>
      </c>
    </row>
    <row r="39" spans="1:2">
      <c r="A39" s="5">
        <v>8</v>
      </c>
      <c r="B39" s="5" t="s">
        <v>204</v>
      </c>
    </row>
    <row r="40" spans="1:2">
      <c r="A40" s="5">
        <v>8</v>
      </c>
      <c r="B40" s="5" t="s">
        <v>165</v>
      </c>
    </row>
    <row r="41" spans="1:2">
      <c r="A41" s="5">
        <v>8</v>
      </c>
      <c r="B41" s="5" t="s">
        <v>132</v>
      </c>
    </row>
    <row r="42" spans="1:2">
      <c r="A42" s="5">
        <v>8</v>
      </c>
      <c r="B42" s="5" t="s">
        <v>203</v>
      </c>
    </row>
    <row r="43" spans="1:2">
      <c r="A43" s="5">
        <v>9</v>
      </c>
      <c r="B43" s="5" t="s">
        <v>163</v>
      </c>
    </row>
    <row r="44" spans="1:2">
      <c r="A44" s="5">
        <v>9</v>
      </c>
      <c r="B44" s="5" t="s">
        <v>314</v>
      </c>
    </row>
    <row r="45" spans="1:2">
      <c r="A45" s="5">
        <v>9</v>
      </c>
      <c r="B45" s="5" t="s">
        <v>206</v>
      </c>
    </row>
    <row r="46" spans="1:2">
      <c r="A46" s="5">
        <v>9</v>
      </c>
      <c r="B46" s="5" t="s">
        <v>134</v>
      </c>
    </row>
    <row r="47" spans="1:2">
      <c r="A47" s="5">
        <v>9</v>
      </c>
      <c r="B47" s="5" t="s">
        <v>323</v>
      </c>
    </row>
    <row r="48" spans="1:2">
      <c r="A48" s="5">
        <v>10</v>
      </c>
      <c r="B48" s="5" t="s">
        <v>135</v>
      </c>
    </row>
    <row r="49" spans="1:2">
      <c r="A49" s="5">
        <v>10</v>
      </c>
      <c r="B49" s="5" t="s">
        <v>166</v>
      </c>
    </row>
    <row r="50" spans="1:2">
      <c r="A50" s="5">
        <v>10</v>
      </c>
      <c r="B50" s="5" t="s">
        <v>207</v>
      </c>
    </row>
    <row r="51" spans="1:2">
      <c r="A51" s="5">
        <v>10</v>
      </c>
      <c r="B51" s="5" t="s">
        <v>324</v>
      </c>
    </row>
    <row r="52" spans="1:2">
      <c r="A52" s="5">
        <v>11</v>
      </c>
      <c r="B52" s="5" t="s">
        <v>210</v>
      </c>
    </row>
    <row r="53" spans="1:2">
      <c r="A53" s="5">
        <v>11</v>
      </c>
      <c r="B53" s="5" t="s">
        <v>212</v>
      </c>
    </row>
    <row r="54" spans="1:2">
      <c r="A54" s="5">
        <v>11</v>
      </c>
      <c r="B54" s="5" t="s">
        <v>211</v>
      </c>
    </row>
    <row r="55" spans="1:2">
      <c r="A55" s="5">
        <v>11</v>
      </c>
      <c r="B55" s="5" t="s">
        <v>209</v>
      </c>
    </row>
    <row r="56" spans="1:2">
      <c r="A56" s="5">
        <v>11</v>
      </c>
      <c r="B56" s="5" t="s">
        <v>208</v>
      </c>
    </row>
    <row r="57" spans="1:2">
      <c r="A57" s="5">
        <v>12</v>
      </c>
      <c r="B57" s="5" t="s">
        <v>215</v>
      </c>
    </row>
    <row r="58" spans="1:2">
      <c r="A58" s="5">
        <v>12</v>
      </c>
      <c r="B58" s="5" t="s">
        <v>214</v>
      </c>
    </row>
    <row r="59" spans="1:2">
      <c r="A59" s="5">
        <v>12</v>
      </c>
      <c r="B59" s="5" t="s">
        <v>136</v>
      </c>
    </row>
    <row r="60" spans="1:2">
      <c r="A60" s="5">
        <v>12</v>
      </c>
      <c r="B60" s="5" t="s">
        <v>363</v>
      </c>
    </row>
    <row r="61" spans="1:2">
      <c r="A61" s="5">
        <v>12</v>
      </c>
      <c r="B61" s="5" t="s">
        <v>213</v>
      </c>
    </row>
    <row r="62" spans="1:2">
      <c r="A62" s="5">
        <v>13</v>
      </c>
      <c r="B62" s="5" t="s">
        <v>220</v>
      </c>
    </row>
    <row r="63" spans="1:2">
      <c r="A63" s="5">
        <v>13</v>
      </c>
      <c r="B63" s="5" t="s">
        <v>217</v>
      </c>
    </row>
    <row r="64" spans="1:2">
      <c r="A64" s="5">
        <v>13</v>
      </c>
      <c r="B64" s="5" t="s">
        <v>219</v>
      </c>
    </row>
    <row r="65" spans="1:2">
      <c r="A65" s="5">
        <v>13</v>
      </c>
      <c r="B65" s="5" t="s">
        <v>216</v>
      </c>
    </row>
    <row r="66" spans="1:2">
      <c r="A66" s="5">
        <v>13</v>
      </c>
      <c r="B66" s="5" t="s">
        <v>218</v>
      </c>
    </row>
    <row r="67" spans="1:2">
      <c r="A67" s="5">
        <v>14</v>
      </c>
      <c r="B67" s="5" t="s">
        <v>325</v>
      </c>
    </row>
    <row r="68" spans="1:2">
      <c r="A68" s="5">
        <v>14</v>
      </c>
      <c r="B68" s="5" t="s">
        <v>326</v>
      </c>
    </row>
    <row r="69" spans="1:2">
      <c r="A69" s="5">
        <v>14</v>
      </c>
      <c r="B69" s="5" t="s">
        <v>327</v>
      </c>
    </row>
    <row r="70" spans="1:2">
      <c r="A70" s="5">
        <v>15</v>
      </c>
      <c r="B70" s="5" t="s">
        <v>222</v>
      </c>
    </row>
    <row r="71" spans="1:2">
      <c r="A71" s="5">
        <v>15</v>
      </c>
      <c r="B71" s="5" t="s">
        <v>221</v>
      </c>
    </row>
    <row r="72" spans="1:2">
      <c r="A72" s="5">
        <v>15</v>
      </c>
      <c r="B72" s="5" t="s">
        <v>223</v>
      </c>
    </row>
    <row r="73" spans="1:2">
      <c r="A73" s="5">
        <v>16</v>
      </c>
      <c r="B73" s="5" t="s">
        <v>225</v>
      </c>
    </row>
    <row r="74" spans="1:2">
      <c r="A74" s="5">
        <v>16</v>
      </c>
      <c r="B74" s="5" t="s">
        <v>328</v>
      </c>
    </row>
    <row r="75" spans="1:2">
      <c r="A75" s="5">
        <v>16</v>
      </c>
      <c r="B75" s="5" t="s">
        <v>224</v>
      </c>
    </row>
    <row r="76" spans="1:2">
      <c r="A76" s="5">
        <v>17</v>
      </c>
      <c r="B76" s="5" t="s">
        <v>226</v>
      </c>
    </row>
    <row r="77" spans="1:2">
      <c r="A77" s="5">
        <v>17</v>
      </c>
      <c r="B77" s="5" t="s">
        <v>227</v>
      </c>
    </row>
    <row r="78" spans="1:2">
      <c r="A78" s="5">
        <v>17</v>
      </c>
      <c r="B78" s="5" t="s">
        <v>366</v>
      </c>
    </row>
    <row r="79" spans="1:2">
      <c r="A79" s="5">
        <v>17</v>
      </c>
      <c r="B79" s="5" t="s">
        <v>365</v>
      </c>
    </row>
    <row r="80" spans="1:2">
      <c r="A80" s="5">
        <v>18</v>
      </c>
      <c r="B80" s="5" t="s">
        <v>329</v>
      </c>
    </row>
    <row r="81" spans="1:2">
      <c r="A81" s="5">
        <v>18</v>
      </c>
      <c r="B81" s="5" t="s">
        <v>139</v>
      </c>
    </row>
    <row r="82" spans="1:2">
      <c r="A82" s="5">
        <v>18</v>
      </c>
      <c r="B82" s="5" t="s">
        <v>138</v>
      </c>
    </row>
    <row r="83" spans="1:2">
      <c r="A83" s="5">
        <v>18</v>
      </c>
      <c r="B83" s="5" t="s">
        <v>137</v>
      </c>
    </row>
    <row r="84" spans="1:2">
      <c r="A84" s="5">
        <v>18</v>
      </c>
      <c r="B84" s="5" t="s">
        <v>228</v>
      </c>
    </row>
    <row r="85" spans="1:2">
      <c r="A85" s="5">
        <v>18</v>
      </c>
      <c r="B85" s="5" t="s">
        <v>229</v>
      </c>
    </row>
    <row r="86" spans="1:2">
      <c r="A86" s="5">
        <v>19</v>
      </c>
      <c r="B86" s="5" t="s">
        <v>367</v>
      </c>
    </row>
    <row r="87" spans="1:2">
      <c r="A87" s="5">
        <v>19</v>
      </c>
      <c r="B87" s="5" t="s">
        <v>230</v>
      </c>
    </row>
    <row r="88" spans="1:2">
      <c r="A88" s="5">
        <v>19</v>
      </c>
      <c r="B88" s="5" t="s">
        <v>167</v>
      </c>
    </row>
    <row r="89" spans="1:2">
      <c r="A89" s="5">
        <v>19</v>
      </c>
      <c r="B89" s="5" t="s">
        <v>140</v>
      </c>
    </row>
    <row r="90" spans="1:2">
      <c r="A90" s="5">
        <v>19</v>
      </c>
      <c r="B90" s="5" t="s">
        <v>169</v>
      </c>
    </row>
    <row r="91" spans="1:2">
      <c r="A91" s="5">
        <v>19</v>
      </c>
      <c r="B91" s="5" t="s">
        <v>168</v>
      </c>
    </row>
    <row r="92" spans="1:2">
      <c r="A92" s="5">
        <v>20</v>
      </c>
      <c r="B92" s="5" t="s">
        <v>142</v>
      </c>
    </row>
    <row r="93" spans="1:2">
      <c r="A93" s="5">
        <v>20</v>
      </c>
      <c r="B93" s="5" t="s">
        <v>234</v>
      </c>
    </row>
    <row r="94" spans="1:2">
      <c r="A94" s="5">
        <v>20</v>
      </c>
      <c r="B94" s="5" t="s">
        <v>240</v>
      </c>
    </row>
    <row r="95" spans="1:2">
      <c r="A95" s="5">
        <v>20</v>
      </c>
      <c r="B95" s="5" t="s">
        <v>141</v>
      </c>
    </row>
    <row r="96" spans="1:2">
      <c r="A96" s="5">
        <v>20</v>
      </c>
      <c r="B96" s="5" t="s">
        <v>237</v>
      </c>
    </row>
    <row r="97" spans="1:2">
      <c r="A97" s="5">
        <v>20</v>
      </c>
      <c r="B97" s="5" t="s">
        <v>314</v>
      </c>
    </row>
    <row r="98" spans="1:2">
      <c r="A98" s="5">
        <v>20</v>
      </c>
      <c r="B98" s="5" t="s">
        <v>233</v>
      </c>
    </row>
    <row r="99" spans="1:2">
      <c r="A99" s="5">
        <v>20</v>
      </c>
      <c r="B99" s="5" t="s">
        <v>238</v>
      </c>
    </row>
    <row r="100" spans="1:2">
      <c r="A100" s="5">
        <v>20</v>
      </c>
      <c r="B100" s="5" t="s">
        <v>235</v>
      </c>
    </row>
    <row r="101" spans="1:2">
      <c r="A101" s="5">
        <v>20</v>
      </c>
      <c r="B101" s="5" t="s">
        <v>170</v>
      </c>
    </row>
    <row r="102" spans="1:2">
      <c r="A102" s="5">
        <v>20</v>
      </c>
      <c r="B102" s="5" t="s">
        <v>239</v>
      </c>
    </row>
    <row r="103" spans="1:2">
      <c r="A103" s="5">
        <v>20</v>
      </c>
      <c r="B103" s="5" t="s">
        <v>330</v>
      </c>
    </row>
    <row r="104" spans="1:2">
      <c r="A104" s="5">
        <v>20</v>
      </c>
      <c r="B104" s="5" t="s">
        <v>242</v>
      </c>
    </row>
    <row r="105" spans="1:2">
      <c r="A105" s="5">
        <v>20</v>
      </c>
      <c r="B105" s="5" t="s">
        <v>171</v>
      </c>
    </row>
    <row r="106" spans="1:2">
      <c r="A106" s="5">
        <v>20</v>
      </c>
      <c r="B106" s="5" t="s">
        <v>231</v>
      </c>
    </row>
    <row r="107" spans="1:2">
      <c r="A107" s="5">
        <v>20</v>
      </c>
      <c r="B107" s="5" t="s">
        <v>236</v>
      </c>
    </row>
    <row r="108" spans="1:2">
      <c r="A108" s="5">
        <v>20</v>
      </c>
      <c r="B108" s="5" t="s">
        <v>241</v>
      </c>
    </row>
    <row r="109" spans="1:2">
      <c r="A109" s="5">
        <v>20</v>
      </c>
      <c r="B109" s="5" t="s">
        <v>232</v>
      </c>
    </row>
    <row r="110" spans="1:2">
      <c r="A110" s="5">
        <v>21</v>
      </c>
      <c r="B110" s="5" t="s">
        <v>244</v>
      </c>
    </row>
    <row r="111" spans="1:2">
      <c r="A111" s="5">
        <v>21</v>
      </c>
      <c r="B111" s="5" t="s">
        <v>243</v>
      </c>
    </row>
    <row r="112" spans="1:2">
      <c r="A112" s="5">
        <v>21</v>
      </c>
      <c r="B112" s="5" t="s">
        <v>172</v>
      </c>
    </row>
    <row r="113" spans="1:2">
      <c r="A113" s="5">
        <v>21</v>
      </c>
      <c r="B113" s="5" t="s">
        <v>331</v>
      </c>
    </row>
    <row r="114" spans="1:2">
      <c r="A114" s="5">
        <v>21</v>
      </c>
      <c r="B114" s="5" t="s">
        <v>368</v>
      </c>
    </row>
    <row r="115" spans="1:2">
      <c r="A115" s="5">
        <v>22</v>
      </c>
      <c r="B115" s="5" t="s">
        <v>143</v>
      </c>
    </row>
    <row r="116" spans="1:2">
      <c r="A116" s="5">
        <v>22</v>
      </c>
      <c r="B116" s="5" t="s">
        <v>247</v>
      </c>
    </row>
    <row r="117" spans="1:2">
      <c r="A117" s="5">
        <v>22</v>
      </c>
      <c r="B117" s="5" t="s">
        <v>173</v>
      </c>
    </row>
    <row r="118" spans="1:2">
      <c r="A118" s="5">
        <v>22</v>
      </c>
      <c r="B118" s="5" t="s">
        <v>245</v>
      </c>
    </row>
    <row r="119" spans="1:2">
      <c r="A119" s="5">
        <v>22</v>
      </c>
      <c r="B119" s="5" t="s">
        <v>246</v>
      </c>
    </row>
    <row r="120" spans="1:2">
      <c r="A120" s="5">
        <v>23</v>
      </c>
      <c r="B120" s="5" t="s">
        <v>250</v>
      </c>
    </row>
    <row r="121" spans="1:2">
      <c r="A121" s="5">
        <v>23</v>
      </c>
      <c r="B121" s="5" t="s">
        <v>332</v>
      </c>
    </row>
    <row r="122" spans="1:2">
      <c r="A122" s="5">
        <v>23</v>
      </c>
      <c r="B122" s="5" t="s">
        <v>249</v>
      </c>
    </row>
    <row r="123" spans="1:2">
      <c r="A123" s="5">
        <v>23</v>
      </c>
      <c r="B123" s="5" t="s">
        <v>251</v>
      </c>
    </row>
    <row r="124" spans="1:2">
      <c r="A124" s="5">
        <v>23</v>
      </c>
      <c r="B124" s="5" t="s">
        <v>248</v>
      </c>
    </row>
    <row r="125" spans="1:2">
      <c r="A125" s="5">
        <v>23</v>
      </c>
      <c r="B125" s="5" t="s">
        <v>252</v>
      </c>
    </row>
    <row r="126" spans="1:2">
      <c r="A126" s="5">
        <v>24</v>
      </c>
      <c r="B126" s="5" t="s">
        <v>174</v>
      </c>
    </row>
    <row r="127" spans="1:2">
      <c r="A127" s="5">
        <v>24</v>
      </c>
      <c r="B127" s="5" t="s">
        <v>175</v>
      </c>
    </row>
    <row r="128" spans="1:2">
      <c r="A128" s="5">
        <v>24</v>
      </c>
      <c r="B128" s="5" t="s">
        <v>253</v>
      </c>
    </row>
    <row r="129" spans="1:2">
      <c r="A129" s="5">
        <v>24</v>
      </c>
      <c r="B129" s="5" t="s">
        <v>333</v>
      </c>
    </row>
    <row r="130" spans="1:2">
      <c r="A130" s="5">
        <v>25</v>
      </c>
      <c r="B130" s="5" t="s">
        <v>174</v>
      </c>
    </row>
    <row r="131" spans="1:2">
      <c r="A131" s="5">
        <v>25</v>
      </c>
      <c r="B131" s="5" t="s">
        <v>177</v>
      </c>
    </row>
    <row r="132" spans="1:2">
      <c r="A132" s="5">
        <v>25</v>
      </c>
      <c r="B132" s="5" t="s">
        <v>176</v>
      </c>
    </row>
    <row r="133" spans="1:2">
      <c r="A133" s="5">
        <v>25</v>
      </c>
      <c r="B133" s="5" t="s">
        <v>178</v>
      </c>
    </row>
    <row r="134" spans="1:2">
      <c r="A134" s="5">
        <v>25</v>
      </c>
      <c r="B134" s="5" t="s">
        <v>253</v>
      </c>
    </row>
    <row r="135" spans="1:2">
      <c r="A135" s="5">
        <v>25</v>
      </c>
      <c r="B135" s="5" t="s">
        <v>333</v>
      </c>
    </row>
    <row r="136" spans="1:2">
      <c r="A136" s="5">
        <v>25</v>
      </c>
      <c r="B136" s="5" t="s">
        <v>144</v>
      </c>
    </row>
    <row r="137" spans="1:2">
      <c r="A137" s="5">
        <v>25</v>
      </c>
      <c r="B137" s="5" t="s">
        <v>254</v>
      </c>
    </row>
    <row r="138" spans="1:2">
      <c r="A138" s="5">
        <v>25</v>
      </c>
      <c r="B138" s="5" t="s">
        <v>145</v>
      </c>
    </row>
    <row r="139" spans="1:2">
      <c r="A139" s="5">
        <v>25</v>
      </c>
      <c r="B139" s="5" t="s">
        <v>255</v>
      </c>
    </row>
    <row r="140" spans="1:2">
      <c r="A140" s="5">
        <v>26</v>
      </c>
      <c r="B140" s="5" t="s">
        <v>53</v>
      </c>
    </row>
    <row r="141" spans="1:2">
      <c r="A141" s="5">
        <v>26</v>
      </c>
      <c r="B141" s="5" t="s">
        <v>336</v>
      </c>
    </row>
    <row r="142" spans="1:2">
      <c r="A142" s="5">
        <v>26</v>
      </c>
      <c r="B142" s="5" t="s">
        <v>179</v>
      </c>
    </row>
    <row r="143" spans="1:2">
      <c r="A143" s="5">
        <v>26</v>
      </c>
      <c r="B143" s="5" t="s">
        <v>257</v>
      </c>
    </row>
    <row r="144" spans="1:2">
      <c r="A144" s="5">
        <v>26</v>
      </c>
      <c r="B144" s="5" t="s">
        <v>334</v>
      </c>
    </row>
    <row r="145" spans="1:2">
      <c r="A145" s="5">
        <v>26</v>
      </c>
      <c r="B145" s="5" t="s">
        <v>335</v>
      </c>
    </row>
    <row r="146" spans="1:2">
      <c r="A146" s="5">
        <v>26</v>
      </c>
      <c r="B146" s="5" t="s">
        <v>256</v>
      </c>
    </row>
    <row r="147" spans="1:2">
      <c r="A147" s="5">
        <v>27</v>
      </c>
      <c r="B147" s="5" t="s">
        <v>146</v>
      </c>
    </row>
    <row r="148" spans="1:2">
      <c r="A148" s="5">
        <v>27</v>
      </c>
      <c r="B148" s="5" t="s">
        <v>259</v>
      </c>
    </row>
    <row r="149" spans="1:2">
      <c r="A149" s="5">
        <v>27</v>
      </c>
      <c r="B149" s="5" t="s">
        <v>338</v>
      </c>
    </row>
    <row r="150" spans="1:2">
      <c r="A150" s="5">
        <v>27</v>
      </c>
      <c r="B150" s="5" t="s">
        <v>337</v>
      </c>
    </row>
    <row r="151" spans="1:2">
      <c r="A151" s="5">
        <v>27</v>
      </c>
      <c r="B151" s="5" t="s">
        <v>203</v>
      </c>
    </row>
    <row r="152" spans="1:2">
      <c r="A152" s="5">
        <v>27</v>
      </c>
      <c r="B152" s="5" t="s">
        <v>339</v>
      </c>
    </row>
    <row r="153" spans="1:2">
      <c r="A153" s="5">
        <v>27</v>
      </c>
      <c r="B153" s="5" t="s">
        <v>258</v>
      </c>
    </row>
    <row r="154" spans="1:2">
      <c r="A154" s="5">
        <v>28</v>
      </c>
      <c r="B154" s="5" t="s">
        <v>260</v>
      </c>
    </row>
    <row r="155" spans="1:2">
      <c r="A155" s="5">
        <v>28</v>
      </c>
      <c r="B155" s="5" t="s">
        <v>263</v>
      </c>
    </row>
    <row r="156" spans="1:2">
      <c r="A156" s="5">
        <v>28</v>
      </c>
      <c r="B156" s="5" t="s">
        <v>264</v>
      </c>
    </row>
    <row r="157" spans="1:2">
      <c r="A157" s="5">
        <v>28</v>
      </c>
      <c r="B157" s="5" t="s">
        <v>340</v>
      </c>
    </row>
    <row r="158" spans="1:2">
      <c r="A158" s="5">
        <v>28</v>
      </c>
      <c r="B158" s="5" t="s">
        <v>369</v>
      </c>
    </row>
    <row r="159" spans="1:2">
      <c r="A159" s="5">
        <v>28</v>
      </c>
      <c r="B159" s="5" t="s">
        <v>190</v>
      </c>
    </row>
    <row r="160" spans="1:2">
      <c r="A160" s="5">
        <v>28</v>
      </c>
      <c r="B160" s="5" t="s">
        <v>261</v>
      </c>
    </row>
    <row r="161" spans="1:2">
      <c r="A161" s="5">
        <v>28</v>
      </c>
      <c r="B161" s="5" t="s">
        <v>262</v>
      </c>
    </row>
    <row r="162" spans="1:2">
      <c r="A162" s="5">
        <v>28</v>
      </c>
      <c r="B162" s="5" t="s">
        <v>341</v>
      </c>
    </row>
    <row r="163" spans="1:2">
      <c r="A163" s="5">
        <v>28</v>
      </c>
      <c r="B163" s="5" t="s">
        <v>147</v>
      </c>
    </row>
    <row r="164" spans="1:2">
      <c r="A164" s="5">
        <v>29</v>
      </c>
      <c r="B164" s="5" t="s">
        <v>343</v>
      </c>
    </row>
    <row r="165" spans="1:2">
      <c r="A165" s="5">
        <v>29</v>
      </c>
      <c r="B165" s="5" t="s">
        <v>148</v>
      </c>
    </row>
    <row r="166" spans="1:2">
      <c r="A166" s="5">
        <v>29</v>
      </c>
      <c r="B166" s="5" t="s">
        <v>265</v>
      </c>
    </row>
    <row r="167" spans="1:2">
      <c r="A167" s="5">
        <v>29</v>
      </c>
      <c r="B167" s="5" t="s">
        <v>342</v>
      </c>
    </row>
    <row r="168" spans="1:2">
      <c r="A168" s="5">
        <v>30</v>
      </c>
      <c r="B168" s="5" t="s">
        <v>267</v>
      </c>
    </row>
    <row r="169" spans="1:2">
      <c r="A169" s="5">
        <v>30</v>
      </c>
      <c r="B169" s="5" t="s">
        <v>268</v>
      </c>
    </row>
    <row r="170" spans="1:2">
      <c r="A170" s="5">
        <v>30</v>
      </c>
      <c r="B170" s="5" t="s">
        <v>266</v>
      </c>
    </row>
    <row r="171" spans="1:2">
      <c r="A171" s="5">
        <v>31</v>
      </c>
      <c r="B171" s="5" t="s">
        <v>271</v>
      </c>
    </row>
    <row r="172" spans="1:2">
      <c r="A172" s="5">
        <v>31</v>
      </c>
      <c r="B172" s="5" t="s">
        <v>272</v>
      </c>
    </row>
    <row r="173" spans="1:2">
      <c r="A173" s="5">
        <v>31</v>
      </c>
      <c r="B173" s="5" t="s">
        <v>149</v>
      </c>
    </row>
    <row r="174" spans="1:2">
      <c r="A174" s="5">
        <v>31</v>
      </c>
      <c r="B174" s="5" t="s">
        <v>270</v>
      </c>
    </row>
    <row r="175" spans="1:2">
      <c r="A175" s="5">
        <v>31</v>
      </c>
      <c r="B175" s="5" t="s">
        <v>180</v>
      </c>
    </row>
    <row r="176" spans="1:2">
      <c r="A176" s="5">
        <v>31</v>
      </c>
      <c r="B176" s="5" t="s">
        <v>181</v>
      </c>
    </row>
    <row r="177" spans="1:2">
      <c r="A177" s="5">
        <v>31</v>
      </c>
      <c r="B177" s="5" t="s">
        <v>150</v>
      </c>
    </row>
    <row r="178" spans="1:2">
      <c r="A178" s="5">
        <v>31</v>
      </c>
      <c r="B178" s="5" t="s">
        <v>183</v>
      </c>
    </row>
    <row r="179" spans="1:2">
      <c r="A179" s="5">
        <v>31</v>
      </c>
      <c r="B179" s="5" t="s">
        <v>182</v>
      </c>
    </row>
    <row r="180" spans="1:2">
      <c r="A180" s="5">
        <v>31</v>
      </c>
      <c r="B180" s="5" t="s">
        <v>269</v>
      </c>
    </row>
    <row r="181" spans="1:2">
      <c r="A181" s="5">
        <v>32</v>
      </c>
      <c r="B181" s="5" t="s">
        <v>275</v>
      </c>
    </row>
    <row r="182" spans="1:2">
      <c r="A182" s="5">
        <v>32</v>
      </c>
      <c r="B182" s="5" t="s">
        <v>274</v>
      </c>
    </row>
    <row r="183" spans="1:2">
      <c r="A183" s="5">
        <v>32</v>
      </c>
      <c r="B183" s="5" t="s">
        <v>273</v>
      </c>
    </row>
    <row r="184" spans="1:2">
      <c r="A184" s="5">
        <v>32</v>
      </c>
      <c r="B184" s="5" t="s">
        <v>152</v>
      </c>
    </row>
    <row r="185" spans="1:2">
      <c r="A185" s="5">
        <v>32</v>
      </c>
      <c r="B185" s="5" t="s">
        <v>151</v>
      </c>
    </row>
    <row r="186" spans="1:2">
      <c r="A186" s="5">
        <v>32</v>
      </c>
      <c r="B186" s="5" t="s">
        <v>277</v>
      </c>
    </row>
    <row r="187" spans="1:2">
      <c r="A187" s="5">
        <v>32</v>
      </c>
      <c r="B187" s="5" t="s">
        <v>278</v>
      </c>
    </row>
    <row r="188" spans="1:2">
      <c r="A188" s="5">
        <v>32</v>
      </c>
      <c r="B188" s="5" t="s">
        <v>281</v>
      </c>
    </row>
    <row r="189" spans="1:2">
      <c r="A189" s="5">
        <v>32</v>
      </c>
      <c r="B189" s="5" t="s">
        <v>346</v>
      </c>
    </row>
    <row r="190" spans="1:2">
      <c r="A190" s="5">
        <v>32</v>
      </c>
      <c r="B190" s="5" t="s">
        <v>185</v>
      </c>
    </row>
    <row r="191" spans="1:2">
      <c r="A191" s="5">
        <v>32</v>
      </c>
      <c r="B191" s="5" t="s">
        <v>324</v>
      </c>
    </row>
    <row r="192" spans="1:2">
      <c r="A192" s="5">
        <v>32</v>
      </c>
      <c r="B192" s="5" t="s">
        <v>184</v>
      </c>
    </row>
    <row r="193" spans="1:2">
      <c r="A193" s="5">
        <v>32</v>
      </c>
      <c r="B193" s="5" t="s">
        <v>279</v>
      </c>
    </row>
    <row r="194" spans="1:2">
      <c r="A194" s="5">
        <v>32</v>
      </c>
      <c r="B194" s="5" t="s">
        <v>344</v>
      </c>
    </row>
    <row r="195" spans="1:2">
      <c r="A195" s="5">
        <v>32</v>
      </c>
      <c r="B195" s="5" t="s">
        <v>280</v>
      </c>
    </row>
    <row r="196" spans="1:2">
      <c r="A196" s="5">
        <v>32</v>
      </c>
      <c r="B196" s="5" t="s">
        <v>186</v>
      </c>
    </row>
    <row r="197" spans="1:2">
      <c r="A197" s="5">
        <v>32</v>
      </c>
      <c r="B197" s="5" t="s">
        <v>191</v>
      </c>
    </row>
    <row r="198" spans="1:2">
      <c r="A198" s="5">
        <v>32</v>
      </c>
      <c r="B198" s="5" t="s">
        <v>276</v>
      </c>
    </row>
    <row r="199" spans="1:2">
      <c r="A199" s="5">
        <v>32</v>
      </c>
      <c r="B199" s="5" t="s">
        <v>345</v>
      </c>
    </row>
    <row r="200" spans="1:2">
      <c r="A200" s="5">
        <v>32</v>
      </c>
      <c r="B200" s="5" t="s">
        <v>370</v>
      </c>
    </row>
    <row r="201" spans="1:2">
      <c r="A201" s="5">
        <v>33</v>
      </c>
      <c r="B201" s="5" t="s">
        <v>187</v>
      </c>
    </row>
    <row r="202" spans="1:2">
      <c r="A202" s="5">
        <v>33</v>
      </c>
      <c r="B202" s="5" t="s">
        <v>283</v>
      </c>
    </row>
    <row r="203" spans="1:2">
      <c r="A203" s="5">
        <v>33</v>
      </c>
      <c r="B203" s="5" t="s">
        <v>240</v>
      </c>
    </row>
    <row r="204" spans="1:2">
      <c r="A204" s="5">
        <v>33</v>
      </c>
      <c r="B204" s="5" t="s">
        <v>141</v>
      </c>
    </row>
    <row r="205" spans="1:2">
      <c r="A205" s="5">
        <v>33</v>
      </c>
      <c r="B205" s="5" t="s">
        <v>237</v>
      </c>
    </row>
    <row r="206" spans="1:2">
      <c r="A206" s="5">
        <v>33</v>
      </c>
      <c r="B206" s="5" t="s">
        <v>314</v>
      </c>
    </row>
    <row r="207" spans="1:2">
      <c r="A207" s="5">
        <v>33</v>
      </c>
      <c r="B207" s="5" t="s">
        <v>282</v>
      </c>
    </row>
    <row r="208" spans="1:2">
      <c r="A208" s="5">
        <v>33</v>
      </c>
      <c r="B208" s="5" t="s">
        <v>238</v>
      </c>
    </row>
    <row r="209" spans="1:2">
      <c r="A209" s="5">
        <v>33</v>
      </c>
      <c r="B209" s="5" t="s">
        <v>235</v>
      </c>
    </row>
    <row r="210" spans="1:2">
      <c r="A210" s="5">
        <v>33</v>
      </c>
      <c r="B210" s="5" t="s">
        <v>170</v>
      </c>
    </row>
    <row r="211" spans="1:2">
      <c r="A211" s="5">
        <v>33</v>
      </c>
      <c r="B211" s="5" t="s">
        <v>284</v>
      </c>
    </row>
    <row r="212" spans="1:2">
      <c r="A212" s="5">
        <v>33</v>
      </c>
      <c r="B212" s="5" t="s">
        <v>285</v>
      </c>
    </row>
    <row r="213" spans="1:2">
      <c r="A213" s="5">
        <v>33</v>
      </c>
      <c r="B213" s="5" t="s">
        <v>171</v>
      </c>
    </row>
    <row r="214" spans="1:2">
      <c r="A214" s="5">
        <v>33</v>
      </c>
      <c r="B214" s="5" t="s">
        <v>231</v>
      </c>
    </row>
    <row r="215" spans="1:2">
      <c r="A215" s="5">
        <v>33</v>
      </c>
      <c r="B215" s="5" t="s">
        <v>241</v>
      </c>
    </row>
    <row r="216" spans="1:2">
      <c r="A216" s="5">
        <v>33</v>
      </c>
      <c r="B216" s="5" t="s">
        <v>232</v>
      </c>
    </row>
    <row r="217" spans="1:2">
      <c r="A217" s="5">
        <v>34</v>
      </c>
      <c r="B217" s="5" t="s">
        <v>347</v>
      </c>
    </row>
    <row r="218" spans="1:2">
      <c r="A218" s="5">
        <v>34</v>
      </c>
      <c r="B218" s="5" t="s">
        <v>287</v>
      </c>
    </row>
    <row r="219" spans="1:2">
      <c r="A219" s="5">
        <v>34</v>
      </c>
      <c r="B219" s="5" t="s">
        <v>286</v>
      </c>
    </row>
    <row r="220" spans="1:2">
      <c r="A220" s="5">
        <v>35</v>
      </c>
      <c r="B220" s="5" t="s">
        <v>350</v>
      </c>
    </row>
    <row r="221" spans="1:2">
      <c r="A221" s="5">
        <v>35</v>
      </c>
      <c r="B221" s="5" t="s">
        <v>288</v>
      </c>
    </row>
    <row r="222" spans="1:2">
      <c r="A222" s="5">
        <v>35</v>
      </c>
      <c r="B222" s="5" t="s">
        <v>289</v>
      </c>
    </row>
    <row r="223" spans="1:2">
      <c r="A223" s="5">
        <v>35</v>
      </c>
      <c r="B223" s="5" t="s">
        <v>348</v>
      </c>
    </row>
    <row r="224" spans="1:2">
      <c r="A224" s="5">
        <v>35</v>
      </c>
      <c r="B224" s="5" t="s">
        <v>349</v>
      </c>
    </row>
    <row r="225" spans="1:2">
      <c r="A225" s="5">
        <v>36</v>
      </c>
      <c r="B225" s="5" t="s">
        <v>290</v>
      </c>
    </row>
    <row r="226" spans="1:2">
      <c r="A226" s="5">
        <v>36</v>
      </c>
      <c r="B226" s="5" t="s">
        <v>154</v>
      </c>
    </row>
    <row r="227" spans="1:2">
      <c r="A227" s="5">
        <v>36</v>
      </c>
      <c r="B227" s="5" t="s">
        <v>351</v>
      </c>
    </row>
    <row r="228" spans="1:2">
      <c r="A228" s="5">
        <v>36</v>
      </c>
      <c r="B228" s="5" t="s">
        <v>153</v>
      </c>
    </row>
    <row r="229" spans="1:2">
      <c r="A229" s="5">
        <v>36</v>
      </c>
      <c r="B229" s="5" t="s">
        <v>292</v>
      </c>
    </row>
    <row r="230" spans="1:2">
      <c r="A230" s="5">
        <v>36</v>
      </c>
      <c r="B230" s="5" t="s">
        <v>352</v>
      </c>
    </row>
    <row r="231" spans="1:2">
      <c r="A231" s="5">
        <v>36</v>
      </c>
      <c r="B231" s="5" t="s">
        <v>291</v>
      </c>
    </row>
    <row r="232" spans="1:2">
      <c r="A232" s="5">
        <v>37</v>
      </c>
      <c r="B232" s="5" t="s">
        <v>294</v>
      </c>
    </row>
    <row r="233" spans="1:2">
      <c r="A233" s="5">
        <v>37</v>
      </c>
      <c r="B233" s="5" t="s">
        <v>301</v>
      </c>
    </row>
    <row r="234" spans="1:2">
      <c r="A234" s="5">
        <v>37</v>
      </c>
      <c r="B234" s="5" t="s">
        <v>296</v>
      </c>
    </row>
    <row r="235" spans="1:2">
      <c r="A235" s="5">
        <v>37</v>
      </c>
      <c r="B235" s="5" t="s">
        <v>157</v>
      </c>
    </row>
    <row r="236" spans="1:2">
      <c r="A236" s="5">
        <v>37</v>
      </c>
      <c r="B236" s="5" t="s">
        <v>358</v>
      </c>
    </row>
    <row r="237" spans="1:2">
      <c r="A237" s="5">
        <v>37</v>
      </c>
      <c r="B237" s="5" t="s">
        <v>300</v>
      </c>
    </row>
    <row r="238" spans="1:2">
      <c r="A238" s="5">
        <v>37</v>
      </c>
      <c r="B238" s="5" t="s">
        <v>158</v>
      </c>
    </row>
    <row r="239" spans="1:2">
      <c r="A239" s="5">
        <v>37</v>
      </c>
      <c r="B239" s="5" t="s">
        <v>356</v>
      </c>
    </row>
    <row r="240" spans="1:2">
      <c r="A240" s="5">
        <v>37</v>
      </c>
      <c r="B240" s="5" t="s">
        <v>298</v>
      </c>
    </row>
    <row r="241" spans="1:2">
      <c r="A241" s="5">
        <v>37</v>
      </c>
      <c r="B241" s="5" t="s">
        <v>353</v>
      </c>
    </row>
    <row r="242" spans="1:2">
      <c r="A242" s="5">
        <v>37</v>
      </c>
      <c r="B242" s="5" t="s">
        <v>155</v>
      </c>
    </row>
    <row r="243" spans="1:2">
      <c r="A243" s="5">
        <v>37</v>
      </c>
      <c r="B243" s="5" t="s">
        <v>299</v>
      </c>
    </row>
    <row r="244" spans="1:2">
      <c r="A244" s="5">
        <v>37</v>
      </c>
      <c r="B244" s="5" t="s">
        <v>297</v>
      </c>
    </row>
    <row r="245" spans="1:2">
      <c r="A245" s="5">
        <v>37</v>
      </c>
      <c r="B245" s="5" t="s">
        <v>188</v>
      </c>
    </row>
    <row r="246" spans="1:2">
      <c r="A246" s="5">
        <v>37</v>
      </c>
      <c r="B246" s="5" t="s">
        <v>355</v>
      </c>
    </row>
    <row r="247" spans="1:2">
      <c r="A247" s="5">
        <v>37</v>
      </c>
      <c r="B247" s="5" t="s">
        <v>357</v>
      </c>
    </row>
    <row r="248" spans="1:2">
      <c r="A248" s="5">
        <v>37</v>
      </c>
      <c r="B248" s="5" t="s">
        <v>295</v>
      </c>
    </row>
    <row r="249" spans="1:2">
      <c r="A249" s="5">
        <v>37</v>
      </c>
      <c r="B249" s="5" t="s">
        <v>354</v>
      </c>
    </row>
    <row r="250" spans="1:2">
      <c r="A250" s="5">
        <v>37</v>
      </c>
      <c r="B250" s="5" t="s">
        <v>293</v>
      </c>
    </row>
    <row r="251" spans="1:2">
      <c r="A251" s="5">
        <v>37</v>
      </c>
      <c r="B251" s="5" t="s">
        <v>156</v>
      </c>
    </row>
    <row r="252" spans="1:2">
      <c r="A252" s="5">
        <v>38</v>
      </c>
      <c r="B252" s="5" t="s">
        <v>302</v>
      </c>
    </row>
    <row r="253" spans="1:2">
      <c r="A253" s="5">
        <v>38</v>
      </c>
      <c r="B253" s="5" t="s">
        <v>303</v>
      </c>
    </row>
    <row r="254" spans="1:2">
      <c r="A254" s="5">
        <v>38</v>
      </c>
      <c r="B254" s="5" t="s">
        <v>304</v>
      </c>
    </row>
    <row r="255" spans="1:2">
      <c r="A255" s="5">
        <v>38</v>
      </c>
      <c r="B255" s="5" t="s">
        <v>359</v>
      </c>
    </row>
    <row r="256" spans="1:2">
      <c r="A256" s="5">
        <v>38</v>
      </c>
      <c r="B256" s="5" t="s">
        <v>360</v>
      </c>
    </row>
    <row r="257" spans="1:2">
      <c r="A257" s="5">
        <v>38</v>
      </c>
      <c r="B257" s="5" t="s">
        <v>159</v>
      </c>
    </row>
    <row r="258" spans="1:2">
      <c r="A258" s="5">
        <v>39</v>
      </c>
      <c r="B258" s="5" t="s">
        <v>161</v>
      </c>
    </row>
    <row r="259" spans="1:2">
      <c r="A259" s="5">
        <v>39</v>
      </c>
      <c r="B259" s="5" t="s">
        <v>322</v>
      </c>
    </row>
    <row r="260" spans="1:2">
      <c r="A260" s="5">
        <v>39</v>
      </c>
      <c r="B260" s="5" t="s">
        <v>160</v>
      </c>
    </row>
    <row r="261" spans="1:2">
      <c r="A261" s="5">
        <v>39</v>
      </c>
      <c r="B261" s="5" t="s">
        <v>305</v>
      </c>
    </row>
    <row r="262" spans="1:2">
      <c r="A262" s="5">
        <v>40</v>
      </c>
      <c r="B262" s="5" t="s">
        <v>309</v>
      </c>
    </row>
    <row r="263" spans="1:2">
      <c r="A263" s="5">
        <v>40</v>
      </c>
      <c r="B263" s="5" t="s">
        <v>310</v>
      </c>
    </row>
    <row r="264" spans="1:2">
      <c r="A264" s="5">
        <v>40</v>
      </c>
      <c r="B264" s="5" t="s">
        <v>306</v>
      </c>
    </row>
    <row r="265" spans="1:2">
      <c r="A265" s="5">
        <v>40</v>
      </c>
      <c r="B265" s="5" t="s">
        <v>308</v>
      </c>
    </row>
    <row r="266" spans="1:2">
      <c r="A266" s="5">
        <v>40</v>
      </c>
      <c r="B266" s="5" t="s">
        <v>311</v>
      </c>
    </row>
    <row r="267" spans="1:2">
      <c r="A267" s="5">
        <v>40</v>
      </c>
      <c r="B267" s="5" t="s">
        <v>307</v>
      </c>
    </row>
    <row r="268" spans="1:2">
      <c r="A268" s="5">
        <v>40</v>
      </c>
      <c r="B268" s="5" t="s">
        <v>361</v>
      </c>
    </row>
    <row r="269" spans="1:2">
      <c r="A269" s="5">
        <v>41</v>
      </c>
      <c r="B269" s="5" t="s">
        <v>362</v>
      </c>
    </row>
    <row r="270" spans="1:2">
      <c r="A270" s="5">
        <v>41</v>
      </c>
      <c r="B270" s="5" t="s">
        <v>162</v>
      </c>
    </row>
    <row r="271" spans="1:2">
      <c r="A271" s="5">
        <v>41</v>
      </c>
      <c r="B271" s="5" t="s">
        <v>197</v>
      </c>
    </row>
    <row r="272" spans="1:2">
      <c r="A272" s="5">
        <v>41</v>
      </c>
      <c r="B272" s="5" t="s">
        <v>312</v>
      </c>
    </row>
    <row r="273" spans="1:2">
      <c r="A273" s="5">
        <v>41</v>
      </c>
      <c r="B273" s="5" t="s">
        <v>313</v>
      </c>
    </row>
  </sheetData>
  <autoFilter ref="A1:B273" xr:uid="{24E29F68-4962-4DEF-8534-A69B19981EF8}">
    <sortState xmlns:xlrd2="http://schemas.microsoft.com/office/spreadsheetml/2017/richdata2" ref="A2:B273">
      <sortCondition ref="A1:A273"/>
    </sortState>
  </autoFilter>
  <phoneticPr fontId="3" type="noConversion"/>
  <conditionalFormatting sqref="A2:A273">
    <cfRule type="expression" dxfId="59" priority="1">
      <formula>$F2 = "AI system design"</formula>
    </cfRule>
    <cfRule type="expression" dxfId="58" priority="2">
      <formula>$F2 = "Ethics of AI"</formula>
    </cfRule>
    <cfRule type="expression" dxfId="57" priority="3">
      <formula>$F2 = "Human-centred mindset"</formula>
    </cfRule>
    <cfRule type="expression" dxfId="56" priority="4">
      <formula>$F2 = "AI techniques and applications"</formula>
    </cfRule>
  </conditionalFormatting>
  <conditionalFormatting sqref="B2:B273 A274:B1000">
    <cfRule type="expression" dxfId="55" priority="17">
      <formula>#REF!="Ethical"</formula>
    </cfRule>
    <cfRule type="expression" dxfId="54" priority="18">
      <formula>#REF!="Cognitive"</formula>
    </cfRule>
    <cfRule type="expression" dxfId="53" priority="19">
      <formula>#REF!="Behavioural"</formula>
    </cfRule>
    <cfRule type="expression" dxfId="52" priority="20">
      <formula>#REF!="Affective"</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DEFB-FCA9-4659-9C02-56363C4D75A1}">
  <sheetPr>
    <tabColor rgb="FFFFFF00"/>
  </sheetPr>
  <dimension ref="B2:Q272"/>
  <sheetViews>
    <sheetView topLeftCell="C1" workbookViewId="0">
      <selection activeCell="J4" sqref="J4"/>
    </sheetView>
  </sheetViews>
  <sheetFormatPr defaultRowHeight="13.2"/>
  <cols>
    <col min="1" max="1" width="2.69921875" style="14" customWidth="1"/>
    <col min="2" max="2" width="20.69921875" style="26" customWidth="1"/>
    <col min="3" max="5" width="10.69921875" style="14" customWidth="1"/>
    <col min="6" max="6" width="2.69921875" style="14" customWidth="1"/>
    <col min="7" max="7" width="20.69921875" style="14" customWidth="1"/>
    <col min="8" max="10" width="10.69921875" style="14" customWidth="1"/>
    <col min="11" max="11" width="2.69921875" style="14" customWidth="1"/>
    <col min="12" max="12" width="20.69921875" style="14" customWidth="1"/>
    <col min="13" max="17" width="10.69921875" style="14" customWidth="1"/>
    <col min="18" max="16384" width="8.796875" style="14"/>
  </cols>
  <sheetData>
    <row r="2" spans="2:17">
      <c r="B2" s="46" t="s">
        <v>1630</v>
      </c>
      <c r="C2" s="47" t="s">
        <v>1628</v>
      </c>
      <c r="D2" s="47" t="s">
        <v>1631</v>
      </c>
      <c r="E2" s="47" t="s">
        <v>1632</v>
      </c>
      <c r="G2" s="46" t="s">
        <v>1630</v>
      </c>
      <c r="H2" s="47" t="s">
        <v>1628</v>
      </c>
      <c r="I2" s="47" t="s">
        <v>1631</v>
      </c>
      <c r="J2" s="47" t="s">
        <v>1632</v>
      </c>
      <c r="L2" s="46" t="s">
        <v>1630</v>
      </c>
      <c r="M2" s="48" t="s">
        <v>5</v>
      </c>
      <c r="N2" s="48" t="s">
        <v>23</v>
      </c>
      <c r="O2" s="48" t="s">
        <v>128</v>
      </c>
      <c r="P2" s="48" t="s">
        <v>125</v>
      </c>
      <c r="Q2" s="48" t="s">
        <v>1633</v>
      </c>
    </row>
    <row r="3" spans="2:17">
      <c r="B3" s="24" t="s">
        <v>5</v>
      </c>
      <c r="C3" s="6">
        <f>COUNTIF(ABCE_Result!C$2:C$273, B3)</f>
        <v>38</v>
      </c>
      <c r="D3" s="6">
        <v>1</v>
      </c>
      <c r="E3" s="6">
        <v>37</v>
      </c>
      <c r="G3" s="6" t="s">
        <v>371</v>
      </c>
      <c r="H3" s="6">
        <f>COUNTIF(UNESCO_Result!C$2:C$273, G3)</f>
        <v>43</v>
      </c>
      <c r="I3" s="6">
        <f>H3-J3</f>
        <v>0</v>
      </c>
      <c r="J3" s="45">
        <v>43</v>
      </c>
      <c r="L3" s="6" t="s">
        <v>1626</v>
      </c>
      <c r="M3" s="6">
        <v>4</v>
      </c>
      <c r="N3" s="6">
        <v>3</v>
      </c>
      <c r="O3" s="6">
        <v>14</v>
      </c>
      <c r="P3" s="6">
        <v>5</v>
      </c>
      <c r="Q3" s="45">
        <f>SUM(M3:P3)</f>
        <v>26</v>
      </c>
    </row>
    <row r="4" spans="2:17">
      <c r="B4" s="24" t="s">
        <v>23</v>
      </c>
      <c r="C4" s="6">
        <f>COUNTIF(ABCE_Result!C$2:C$273, B4)</f>
        <v>30</v>
      </c>
      <c r="D4" s="6">
        <v>5</v>
      </c>
      <c r="E4" s="6">
        <v>25</v>
      </c>
      <c r="G4" s="6" t="s">
        <v>376</v>
      </c>
      <c r="H4" s="6">
        <f>COUNTIF(UNESCO_Result!C$2:C$273, G4)</f>
        <v>65</v>
      </c>
      <c r="I4" s="6">
        <f t="shared" ref="I4:I7" si="0">H4-J4</f>
        <v>16</v>
      </c>
      <c r="J4" s="45">
        <v>49</v>
      </c>
      <c r="L4" s="6" t="s">
        <v>381</v>
      </c>
      <c r="M4" s="6">
        <v>12</v>
      </c>
      <c r="N4" s="6">
        <v>9</v>
      </c>
      <c r="O4" s="6">
        <v>61</v>
      </c>
      <c r="P4" s="6">
        <v>3</v>
      </c>
      <c r="Q4" s="45">
        <f t="shared" ref="Q4:Q7" si="1">SUM(M4:P4)</f>
        <v>85</v>
      </c>
    </row>
    <row r="5" spans="2:17">
      <c r="B5" s="24" t="s">
        <v>128</v>
      </c>
      <c r="C5" s="6">
        <f>COUNTIF(ABCE_Result!C$2:C$273, B5)</f>
        <v>141</v>
      </c>
      <c r="D5" s="6">
        <v>14</v>
      </c>
      <c r="E5" s="6">
        <v>127</v>
      </c>
      <c r="G5" s="6" t="s">
        <v>381</v>
      </c>
      <c r="H5" s="6">
        <f>COUNTIF(UNESCO_Result!C$2:C$273, G5)</f>
        <v>94</v>
      </c>
      <c r="I5" s="6">
        <f t="shared" si="0"/>
        <v>9</v>
      </c>
      <c r="J5" s="45">
        <v>85</v>
      </c>
      <c r="L5" s="6" t="s">
        <v>376</v>
      </c>
      <c r="M5" s="6">
        <v>8</v>
      </c>
      <c r="N5" s="6">
        <v>1</v>
      </c>
      <c r="O5" s="6">
        <v>15</v>
      </c>
      <c r="P5" s="6">
        <v>25</v>
      </c>
      <c r="Q5" s="45">
        <f t="shared" si="1"/>
        <v>49</v>
      </c>
    </row>
    <row r="6" spans="2:17">
      <c r="B6" s="24" t="s">
        <v>125</v>
      </c>
      <c r="C6" s="6">
        <f>COUNTIF(ABCE_Result!C$2:C$273, B6)</f>
        <v>56</v>
      </c>
      <c r="D6" s="6">
        <v>7</v>
      </c>
      <c r="E6" s="6">
        <v>49</v>
      </c>
      <c r="G6" s="6" t="s">
        <v>1626</v>
      </c>
      <c r="H6" s="6">
        <f>COUNTIF(UNESCO_Result!C$2:C$273, G6)</f>
        <v>27</v>
      </c>
      <c r="I6" s="6">
        <f t="shared" si="0"/>
        <v>1</v>
      </c>
      <c r="J6" s="45">
        <v>26</v>
      </c>
      <c r="L6" s="6" t="s">
        <v>371</v>
      </c>
      <c r="M6" s="6">
        <v>8</v>
      </c>
      <c r="N6" s="6">
        <v>11</v>
      </c>
      <c r="O6" s="6">
        <v>13</v>
      </c>
      <c r="P6" s="6">
        <v>11</v>
      </c>
      <c r="Q6" s="45">
        <f t="shared" si="1"/>
        <v>43</v>
      </c>
    </row>
    <row r="7" spans="2:17">
      <c r="B7" s="24" t="s">
        <v>364</v>
      </c>
      <c r="C7" s="6">
        <f>COUNTIF(ABCE_Result!C$2:C$273, B7)</f>
        <v>7</v>
      </c>
      <c r="D7" s="6">
        <v>0</v>
      </c>
      <c r="E7" s="6">
        <v>7</v>
      </c>
      <c r="G7" s="24" t="s">
        <v>364</v>
      </c>
      <c r="H7" s="6">
        <f>COUNTIF(UNESCO_Result!C$2:C$273, G7)</f>
        <v>43</v>
      </c>
      <c r="I7" s="6">
        <f t="shared" si="0"/>
        <v>2</v>
      </c>
      <c r="J7" s="6">
        <v>41</v>
      </c>
      <c r="L7" s="24" t="s">
        <v>1629</v>
      </c>
      <c r="M7" s="6">
        <f>SUM(M3:M6)</f>
        <v>32</v>
      </c>
      <c r="N7" s="6">
        <f>SUM(N3:N6)</f>
        <v>24</v>
      </c>
      <c r="O7" s="6">
        <f>SUM(O3:O6)</f>
        <v>103</v>
      </c>
      <c r="P7" s="6">
        <f>SUM(P3:P6)</f>
        <v>44</v>
      </c>
      <c r="Q7" s="6">
        <f t="shared" si="1"/>
        <v>203</v>
      </c>
    </row>
    <row r="8" spans="2:17">
      <c r="B8" s="24" t="s">
        <v>1629</v>
      </c>
      <c r="C8" s="6">
        <f>SUM(C3:C7)</f>
        <v>272</v>
      </c>
      <c r="D8" s="6">
        <f>SUM(D3:D7)</f>
        <v>27</v>
      </c>
      <c r="E8" s="6">
        <f>SUM(E3:E7)</f>
        <v>245</v>
      </c>
      <c r="G8" s="24" t="s">
        <v>1629</v>
      </c>
      <c r="H8" s="6">
        <f>SUM(H3:H7)</f>
        <v>272</v>
      </c>
      <c r="I8" s="6">
        <f>SUM(I3:I7)</f>
        <v>28</v>
      </c>
      <c r="J8" s="6">
        <f>SUM(J3:J7)</f>
        <v>244</v>
      </c>
    </row>
    <row r="9" spans="2:17">
      <c r="B9" s="14"/>
    </row>
    <row r="10" spans="2:17">
      <c r="B10" s="14"/>
    </row>
    <row r="11" spans="2:17">
      <c r="B11" s="14"/>
    </row>
    <row r="12" spans="2:17">
      <c r="B12" s="14"/>
    </row>
    <row r="13" spans="2:17">
      <c r="B13" s="14"/>
    </row>
    <row r="14" spans="2:17">
      <c r="B14" s="14"/>
    </row>
    <row r="15" spans="2:17">
      <c r="B15" s="14"/>
    </row>
    <row r="16" spans="2:17">
      <c r="B16" s="14"/>
    </row>
    <row r="17" spans="2:2">
      <c r="B17" s="14"/>
    </row>
    <row r="18" spans="2:2">
      <c r="B18" s="14"/>
    </row>
    <row r="19" spans="2:2">
      <c r="B19" s="14"/>
    </row>
    <row r="20" spans="2:2">
      <c r="B20" s="14"/>
    </row>
    <row r="21" spans="2:2">
      <c r="B21" s="14"/>
    </row>
    <row r="22" spans="2:2">
      <c r="B22" s="14"/>
    </row>
    <row r="23" spans="2:2">
      <c r="B23" s="14"/>
    </row>
    <row r="24" spans="2:2">
      <c r="B24" s="14"/>
    </row>
    <row r="25" spans="2:2">
      <c r="B25" s="14"/>
    </row>
    <row r="26" spans="2:2">
      <c r="B26" s="14"/>
    </row>
    <row r="27" spans="2:2">
      <c r="B27" s="14"/>
    </row>
    <row r="28" spans="2:2">
      <c r="B28" s="14"/>
    </row>
    <row r="29" spans="2:2">
      <c r="B29" s="14"/>
    </row>
    <row r="30" spans="2:2">
      <c r="B30" s="14"/>
    </row>
    <row r="31" spans="2:2">
      <c r="B31" s="14"/>
    </row>
    <row r="32" spans="2:2">
      <c r="B32" s="14"/>
    </row>
    <row r="33" spans="2:2">
      <c r="B33" s="14"/>
    </row>
    <row r="34" spans="2:2">
      <c r="B34" s="14"/>
    </row>
    <row r="35" spans="2:2">
      <c r="B35" s="14"/>
    </row>
    <row r="36" spans="2:2">
      <c r="B36" s="14"/>
    </row>
    <row r="37" spans="2:2">
      <c r="B37" s="14"/>
    </row>
    <row r="38" spans="2:2">
      <c r="B38" s="14"/>
    </row>
    <row r="39" spans="2:2">
      <c r="B39" s="14"/>
    </row>
    <row r="40" spans="2:2">
      <c r="B40" s="14"/>
    </row>
    <row r="41" spans="2:2">
      <c r="B41" s="14"/>
    </row>
    <row r="42" spans="2:2">
      <c r="B42" s="14"/>
    </row>
    <row r="43" spans="2:2">
      <c r="B43" s="14"/>
    </row>
    <row r="44" spans="2:2">
      <c r="B44" s="14"/>
    </row>
    <row r="45" spans="2:2">
      <c r="B45" s="14"/>
    </row>
    <row r="46" spans="2:2">
      <c r="B46" s="14"/>
    </row>
    <row r="47" spans="2:2">
      <c r="B47" s="14"/>
    </row>
    <row r="48" spans="2:2">
      <c r="B48" s="14"/>
    </row>
    <row r="49" spans="2:2">
      <c r="B49" s="14"/>
    </row>
    <row r="50" spans="2:2">
      <c r="B50" s="14"/>
    </row>
    <row r="51" spans="2:2">
      <c r="B51" s="14"/>
    </row>
    <row r="52" spans="2:2">
      <c r="B52" s="14"/>
    </row>
    <row r="53" spans="2:2">
      <c r="B53" s="14"/>
    </row>
    <row r="54" spans="2:2">
      <c r="B54" s="14"/>
    </row>
    <row r="55" spans="2:2">
      <c r="B55" s="14"/>
    </row>
    <row r="56" spans="2:2">
      <c r="B56" s="14"/>
    </row>
    <row r="57" spans="2:2">
      <c r="B57" s="14"/>
    </row>
    <row r="58" spans="2:2">
      <c r="B58" s="14"/>
    </row>
    <row r="59" spans="2:2">
      <c r="B59" s="14"/>
    </row>
    <row r="60" spans="2:2">
      <c r="B60" s="14"/>
    </row>
    <row r="61" spans="2:2">
      <c r="B61" s="14"/>
    </row>
    <row r="62" spans="2:2">
      <c r="B62" s="14"/>
    </row>
    <row r="63" spans="2:2">
      <c r="B63" s="14"/>
    </row>
    <row r="64" spans="2:2">
      <c r="B64" s="14"/>
    </row>
    <row r="65" spans="2:2">
      <c r="B65" s="14"/>
    </row>
    <row r="66" spans="2:2">
      <c r="B66" s="14"/>
    </row>
    <row r="67" spans="2:2">
      <c r="B67" s="14"/>
    </row>
    <row r="68" spans="2:2">
      <c r="B68" s="14"/>
    </row>
    <row r="69" spans="2:2">
      <c r="B69" s="14"/>
    </row>
    <row r="70" spans="2:2">
      <c r="B70" s="14"/>
    </row>
    <row r="71" spans="2:2">
      <c r="B71" s="14"/>
    </row>
    <row r="72" spans="2:2">
      <c r="B72" s="14"/>
    </row>
    <row r="73" spans="2:2">
      <c r="B73" s="14"/>
    </row>
    <row r="74" spans="2:2">
      <c r="B74" s="14"/>
    </row>
    <row r="75" spans="2:2">
      <c r="B75" s="14"/>
    </row>
    <row r="76" spans="2:2">
      <c r="B76" s="14"/>
    </row>
    <row r="77" spans="2:2">
      <c r="B77" s="14"/>
    </row>
    <row r="78" spans="2:2">
      <c r="B78" s="14"/>
    </row>
    <row r="79" spans="2:2">
      <c r="B79" s="14"/>
    </row>
    <row r="80" spans="2:2">
      <c r="B80" s="14"/>
    </row>
    <row r="81" spans="2:2">
      <c r="B81" s="14"/>
    </row>
    <row r="82" spans="2:2">
      <c r="B82" s="14"/>
    </row>
    <row r="83" spans="2:2">
      <c r="B83" s="14"/>
    </row>
    <row r="84" spans="2:2">
      <c r="B84" s="14"/>
    </row>
    <row r="85" spans="2:2">
      <c r="B85" s="14"/>
    </row>
    <row r="86" spans="2:2">
      <c r="B86" s="14"/>
    </row>
    <row r="87" spans="2:2">
      <c r="B87" s="14"/>
    </row>
    <row r="88" spans="2:2">
      <c r="B88" s="14"/>
    </row>
    <row r="89" spans="2:2">
      <c r="B89" s="14"/>
    </row>
    <row r="90" spans="2:2">
      <c r="B90" s="14"/>
    </row>
    <row r="91" spans="2:2">
      <c r="B91" s="14"/>
    </row>
    <row r="92" spans="2:2">
      <c r="B92" s="14"/>
    </row>
    <row r="93" spans="2:2">
      <c r="B93" s="14"/>
    </row>
    <row r="94" spans="2:2">
      <c r="B94" s="14"/>
    </row>
    <row r="95" spans="2:2">
      <c r="B95" s="14"/>
    </row>
    <row r="96" spans="2:2">
      <c r="B96" s="14"/>
    </row>
    <row r="97" spans="2:2">
      <c r="B97" s="14"/>
    </row>
    <row r="98" spans="2:2">
      <c r="B98" s="14"/>
    </row>
    <row r="99" spans="2:2">
      <c r="B99" s="14"/>
    </row>
    <row r="100" spans="2:2">
      <c r="B100" s="14"/>
    </row>
    <row r="101" spans="2:2">
      <c r="B101" s="14"/>
    </row>
    <row r="102" spans="2:2">
      <c r="B102" s="14"/>
    </row>
    <row r="103" spans="2:2">
      <c r="B103" s="14"/>
    </row>
    <row r="104" spans="2:2">
      <c r="B104" s="14"/>
    </row>
    <row r="105" spans="2:2">
      <c r="B105" s="14"/>
    </row>
    <row r="106" spans="2:2">
      <c r="B106" s="14"/>
    </row>
    <row r="107" spans="2:2">
      <c r="B107" s="14"/>
    </row>
    <row r="108" spans="2:2">
      <c r="B108" s="14"/>
    </row>
    <row r="109" spans="2:2">
      <c r="B109" s="14"/>
    </row>
    <row r="110" spans="2:2">
      <c r="B110" s="14"/>
    </row>
    <row r="111" spans="2:2">
      <c r="B111" s="14"/>
    </row>
    <row r="112" spans="2:2">
      <c r="B112" s="14"/>
    </row>
    <row r="113" spans="2:2">
      <c r="B113" s="14"/>
    </row>
    <row r="114" spans="2:2">
      <c r="B114" s="14"/>
    </row>
    <row r="115" spans="2:2">
      <c r="B115" s="14"/>
    </row>
    <row r="116" spans="2:2">
      <c r="B116" s="14"/>
    </row>
    <row r="117" spans="2:2">
      <c r="B117" s="14"/>
    </row>
    <row r="118" spans="2:2">
      <c r="B118" s="14"/>
    </row>
    <row r="119" spans="2:2">
      <c r="B119" s="14"/>
    </row>
    <row r="120" spans="2:2">
      <c r="B120" s="14"/>
    </row>
    <row r="121" spans="2:2">
      <c r="B121" s="14"/>
    </row>
    <row r="122" spans="2:2">
      <c r="B122" s="14"/>
    </row>
    <row r="123" spans="2:2">
      <c r="B123" s="14"/>
    </row>
    <row r="124" spans="2:2">
      <c r="B124" s="14"/>
    </row>
    <row r="125" spans="2:2">
      <c r="B125" s="14"/>
    </row>
    <row r="126" spans="2:2">
      <c r="B126" s="14"/>
    </row>
    <row r="127" spans="2:2">
      <c r="B127" s="14"/>
    </row>
    <row r="128" spans="2:2">
      <c r="B128" s="14"/>
    </row>
    <row r="129" spans="2:2">
      <c r="B129" s="14"/>
    </row>
    <row r="130" spans="2:2">
      <c r="B130" s="14"/>
    </row>
    <row r="131" spans="2:2">
      <c r="B131" s="14"/>
    </row>
    <row r="132" spans="2:2">
      <c r="B132" s="14"/>
    </row>
    <row r="133" spans="2:2">
      <c r="B133" s="14"/>
    </row>
    <row r="134" spans="2:2">
      <c r="B134" s="14"/>
    </row>
    <row r="135" spans="2:2">
      <c r="B135" s="14"/>
    </row>
    <row r="136" spans="2:2">
      <c r="B136" s="14"/>
    </row>
    <row r="137" spans="2:2">
      <c r="B137" s="14"/>
    </row>
    <row r="138" spans="2:2">
      <c r="B138" s="14"/>
    </row>
    <row r="139" spans="2:2">
      <c r="B139" s="14"/>
    </row>
    <row r="140" spans="2:2">
      <c r="B140" s="14"/>
    </row>
    <row r="141" spans="2:2">
      <c r="B141" s="14"/>
    </row>
    <row r="142" spans="2:2">
      <c r="B142" s="14"/>
    </row>
    <row r="143" spans="2:2">
      <c r="B143" s="14"/>
    </row>
    <row r="144" spans="2:2">
      <c r="B144" s="14"/>
    </row>
    <row r="145" spans="2:2">
      <c r="B145" s="14"/>
    </row>
    <row r="146" spans="2:2">
      <c r="B146" s="14"/>
    </row>
    <row r="147" spans="2:2">
      <c r="B147" s="14"/>
    </row>
    <row r="148" spans="2:2">
      <c r="B148" s="14"/>
    </row>
    <row r="149" spans="2:2">
      <c r="B149" s="14"/>
    </row>
    <row r="150" spans="2:2">
      <c r="B150" s="14"/>
    </row>
    <row r="151" spans="2:2">
      <c r="B151" s="14"/>
    </row>
    <row r="152" spans="2:2">
      <c r="B152" s="14"/>
    </row>
    <row r="153" spans="2:2">
      <c r="B153" s="14"/>
    </row>
    <row r="154" spans="2:2">
      <c r="B154" s="14"/>
    </row>
    <row r="155" spans="2:2">
      <c r="B155" s="14"/>
    </row>
    <row r="156" spans="2:2">
      <c r="B156" s="14"/>
    </row>
    <row r="157" spans="2:2">
      <c r="B157" s="14"/>
    </row>
    <row r="158" spans="2:2">
      <c r="B158" s="14"/>
    </row>
    <row r="159" spans="2:2">
      <c r="B159" s="14"/>
    </row>
    <row r="160" spans="2:2">
      <c r="B160" s="14"/>
    </row>
    <row r="161" spans="2:2">
      <c r="B161" s="14"/>
    </row>
    <row r="162" spans="2:2">
      <c r="B162" s="14"/>
    </row>
    <row r="163" spans="2:2">
      <c r="B163" s="14"/>
    </row>
    <row r="164" spans="2:2">
      <c r="B164" s="14"/>
    </row>
    <row r="165" spans="2:2">
      <c r="B165" s="14"/>
    </row>
    <row r="166" spans="2:2">
      <c r="B166" s="14"/>
    </row>
    <row r="167" spans="2:2">
      <c r="B167" s="14"/>
    </row>
    <row r="168" spans="2:2">
      <c r="B168" s="14"/>
    </row>
    <row r="169" spans="2:2">
      <c r="B169" s="14"/>
    </row>
    <row r="170" spans="2:2">
      <c r="B170" s="14"/>
    </row>
    <row r="171" spans="2:2">
      <c r="B171" s="14"/>
    </row>
    <row r="172" spans="2:2">
      <c r="B172" s="14"/>
    </row>
    <row r="173" spans="2:2">
      <c r="B173" s="14"/>
    </row>
    <row r="174" spans="2:2">
      <c r="B174" s="14"/>
    </row>
    <row r="175" spans="2:2">
      <c r="B175" s="14"/>
    </row>
    <row r="176" spans="2:2">
      <c r="B176" s="14"/>
    </row>
    <row r="177" spans="2:2">
      <c r="B177" s="14"/>
    </row>
    <row r="178" spans="2:2">
      <c r="B178" s="14"/>
    </row>
    <row r="179" spans="2:2">
      <c r="B179" s="14"/>
    </row>
    <row r="180" spans="2:2">
      <c r="B180" s="14"/>
    </row>
    <row r="181" spans="2:2">
      <c r="B181" s="14"/>
    </row>
    <row r="182" spans="2:2">
      <c r="B182" s="14"/>
    </row>
    <row r="183" spans="2:2">
      <c r="B183" s="14"/>
    </row>
    <row r="184" spans="2:2">
      <c r="B184" s="14"/>
    </row>
    <row r="185" spans="2:2">
      <c r="B185" s="14"/>
    </row>
    <row r="186" spans="2:2">
      <c r="B186" s="14"/>
    </row>
    <row r="187" spans="2:2">
      <c r="B187" s="14"/>
    </row>
    <row r="188" spans="2:2">
      <c r="B188" s="14"/>
    </row>
    <row r="189" spans="2:2">
      <c r="B189" s="14"/>
    </row>
    <row r="190" spans="2:2">
      <c r="B190" s="14"/>
    </row>
    <row r="191" spans="2:2">
      <c r="B191" s="14"/>
    </row>
    <row r="192" spans="2:2">
      <c r="B192" s="14"/>
    </row>
    <row r="193" spans="2:2">
      <c r="B193" s="14"/>
    </row>
    <row r="194" spans="2:2">
      <c r="B194" s="14"/>
    </row>
    <row r="195" spans="2:2">
      <c r="B195" s="14"/>
    </row>
    <row r="196" spans="2:2">
      <c r="B196" s="14"/>
    </row>
    <row r="197" spans="2:2">
      <c r="B197" s="14"/>
    </row>
    <row r="198" spans="2:2">
      <c r="B198" s="14"/>
    </row>
    <row r="199" spans="2:2">
      <c r="B199" s="14"/>
    </row>
    <row r="200" spans="2:2">
      <c r="B200" s="14"/>
    </row>
    <row r="201" spans="2:2">
      <c r="B201" s="14"/>
    </row>
    <row r="202" spans="2:2">
      <c r="B202" s="14"/>
    </row>
    <row r="203" spans="2:2">
      <c r="B203" s="14"/>
    </row>
    <row r="204" spans="2:2">
      <c r="B204" s="14"/>
    </row>
    <row r="205" spans="2:2">
      <c r="B205" s="14"/>
    </row>
    <row r="206" spans="2:2">
      <c r="B206" s="14"/>
    </row>
    <row r="207" spans="2:2">
      <c r="B207" s="14"/>
    </row>
    <row r="208" spans="2:2">
      <c r="B208" s="14"/>
    </row>
    <row r="209" spans="2:2">
      <c r="B209" s="14"/>
    </row>
    <row r="210" spans="2:2">
      <c r="B210" s="14"/>
    </row>
    <row r="211" spans="2:2">
      <c r="B211" s="14"/>
    </row>
    <row r="212" spans="2:2">
      <c r="B212" s="14"/>
    </row>
    <row r="213" spans="2:2">
      <c r="B213" s="14"/>
    </row>
    <row r="214" spans="2:2">
      <c r="B214" s="14"/>
    </row>
    <row r="215" spans="2:2">
      <c r="B215" s="14"/>
    </row>
    <row r="216" spans="2:2">
      <c r="B216" s="14"/>
    </row>
    <row r="217" spans="2:2">
      <c r="B217" s="14"/>
    </row>
    <row r="218" spans="2:2">
      <c r="B218" s="14"/>
    </row>
    <row r="219" spans="2:2">
      <c r="B219" s="14"/>
    </row>
    <row r="220" spans="2:2">
      <c r="B220" s="14"/>
    </row>
    <row r="221" spans="2:2">
      <c r="B221" s="14"/>
    </row>
    <row r="222" spans="2:2">
      <c r="B222" s="14"/>
    </row>
    <row r="223" spans="2:2">
      <c r="B223" s="14"/>
    </row>
    <row r="224" spans="2:2">
      <c r="B224" s="14"/>
    </row>
    <row r="225" spans="2:2">
      <c r="B225" s="14"/>
    </row>
    <row r="226" spans="2:2">
      <c r="B226" s="14"/>
    </row>
    <row r="227" spans="2:2">
      <c r="B227" s="14"/>
    </row>
    <row r="228" spans="2:2">
      <c r="B228" s="14"/>
    </row>
    <row r="229" spans="2:2">
      <c r="B229" s="14"/>
    </row>
    <row r="230" spans="2:2">
      <c r="B230" s="14"/>
    </row>
    <row r="231" spans="2:2">
      <c r="B231" s="14"/>
    </row>
    <row r="232" spans="2:2">
      <c r="B232" s="14"/>
    </row>
    <row r="233" spans="2:2">
      <c r="B233" s="14"/>
    </row>
    <row r="234" spans="2:2">
      <c r="B234" s="14"/>
    </row>
    <row r="235" spans="2:2">
      <c r="B235" s="14"/>
    </row>
    <row r="236" spans="2:2">
      <c r="B236" s="14"/>
    </row>
    <row r="237" spans="2:2">
      <c r="B237" s="14"/>
    </row>
    <row r="238" spans="2:2">
      <c r="B238" s="14"/>
    </row>
    <row r="239" spans="2:2">
      <c r="B239" s="14"/>
    </row>
    <row r="240" spans="2:2">
      <c r="B240" s="14"/>
    </row>
    <row r="241" spans="2:2">
      <c r="B241" s="14"/>
    </row>
    <row r="242" spans="2:2">
      <c r="B242" s="14"/>
    </row>
    <row r="243" spans="2:2">
      <c r="B243" s="14"/>
    </row>
    <row r="244" spans="2:2">
      <c r="B244" s="14"/>
    </row>
    <row r="245" spans="2:2">
      <c r="B245" s="14"/>
    </row>
    <row r="246" spans="2:2">
      <c r="B246" s="14"/>
    </row>
    <row r="247" spans="2:2">
      <c r="B247" s="14"/>
    </row>
    <row r="248" spans="2:2">
      <c r="B248" s="14"/>
    </row>
    <row r="249" spans="2:2">
      <c r="B249" s="14"/>
    </row>
    <row r="250" spans="2:2">
      <c r="B250" s="14"/>
    </row>
    <row r="251" spans="2:2">
      <c r="B251" s="14"/>
    </row>
    <row r="252" spans="2:2">
      <c r="B252" s="14"/>
    </row>
    <row r="253" spans="2:2">
      <c r="B253" s="14"/>
    </row>
    <row r="254" spans="2:2">
      <c r="B254" s="14"/>
    </row>
    <row r="255" spans="2:2">
      <c r="B255" s="14"/>
    </row>
    <row r="256" spans="2:2">
      <c r="B256" s="14"/>
    </row>
    <row r="257" spans="2:2">
      <c r="B257" s="14"/>
    </row>
    <row r="258" spans="2:2">
      <c r="B258" s="14"/>
    </row>
    <row r="259" spans="2:2">
      <c r="B259" s="14"/>
    </row>
    <row r="260" spans="2:2">
      <c r="B260" s="14"/>
    </row>
    <row r="261" spans="2:2">
      <c r="B261" s="14"/>
    </row>
    <row r="262" spans="2:2">
      <c r="B262" s="14"/>
    </row>
    <row r="263" spans="2:2">
      <c r="B263" s="14"/>
    </row>
    <row r="264" spans="2:2">
      <c r="B264" s="14"/>
    </row>
    <row r="265" spans="2:2">
      <c r="B265" s="14"/>
    </row>
    <row r="266" spans="2:2">
      <c r="B266" s="14"/>
    </row>
    <row r="267" spans="2:2">
      <c r="B267" s="14"/>
    </row>
    <row r="268" spans="2:2">
      <c r="B268" s="14"/>
    </row>
    <row r="269" spans="2:2">
      <c r="B269" s="14"/>
    </row>
    <row r="270" spans="2:2">
      <c r="B270" s="14"/>
    </row>
    <row r="271" spans="2:2">
      <c r="B271" s="14"/>
    </row>
    <row r="272" spans="2:2">
      <c r="B272" s="14"/>
    </row>
  </sheetData>
  <phoneticPr fontId="3" type="noConversion"/>
  <conditionalFormatting sqref="B4:B8">
    <cfRule type="expression" dxfId="51" priority="57">
      <formula>$C2="Ethical"</formula>
    </cfRule>
    <cfRule type="expression" dxfId="50" priority="58">
      <formula>$C2="Cognitive"</formula>
    </cfRule>
    <cfRule type="expression" dxfId="49" priority="59">
      <formula>$C2="Behavioural"</formula>
    </cfRule>
    <cfRule type="expression" dxfId="48" priority="60">
      <formula>$C2="Affective"</formula>
    </cfRule>
  </conditionalFormatting>
  <conditionalFormatting sqref="B273:B999">
    <cfRule type="expression" dxfId="47" priority="29">
      <formula>$C273="Ethical"</formula>
    </cfRule>
    <cfRule type="expression" dxfId="46" priority="30">
      <formula>$C273="Cognitive"</formula>
    </cfRule>
    <cfRule type="expression" dxfId="45" priority="31">
      <formula>$C273="Behavioural"</formula>
    </cfRule>
    <cfRule type="expression" dxfId="44" priority="32">
      <formula>$C273="Affective"</formula>
    </cfRule>
  </conditionalFormatting>
  <conditionalFormatting sqref="G7:G8">
    <cfRule type="expression" dxfId="43" priority="25">
      <formula>$C5="Ethical"</formula>
    </cfRule>
    <cfRule type="expression" dxfId="42" priority="26">
      <formula>$C5="Cognitive"</formula>
    </cfRule>
    <cfRule type="expression" dxfId="41" priority="27">
      <formula>$C5="Behavioural"</formula>
    </cfRule>
    <cfRule type="expression" dxfId="40" priority="28">
      <formula>$C5="Affective"</formula>
    </cfRule>
  </conditionalFormatting>
  <conditionalFormatting sqref="L7">
    <cfRule type="expression" dxfId="39" priority="21">
      <formula>$C5="Ethical"</formula>
    </cfRule>
    <cfRule type="expression" dxfId="38" priority="22">
      <formula>$C5="Cognitive"</formula>
    </cfRule>
    <cfRule type="expression" dxfId="37" priority="23">
      <formula>$C5="Behavioural"</formula>
    </cfRule>
    <cfRule type="expression" dxfId="36" priority="24">
      <formula>$C5="Affective"</formula>
    </cfRule>
  </conditionalFormatting>
  <conditionalFormatting sqref="M2">
    <cfRule type="expression" dxfId="35" priority="17">
      <formula>$C1="Ethical"</formula>
    </cfRule>
    <cfRule type="expression" dxfId="34" priority="18">
      <formula>$C1="Cognitive"</formula>
    </cfRule>
    <cfRule type="expression" dxfId="33" priority="19">
      <formula>$C1="Behavioural"</formula>
    </cfRule>
    <cfRule type="expression" dxfId="32" priority="20">
      <formula>$C1="Affective"</formula>
    </cfRule>
  </conditionalFormatting>
  <conditionalFormatting sqref="N2">
    <cfRule type="expression" dxfId="31" priority="13">
      <formula>$C1="Ethical"</formula>
    </cfRule>
    <cfRule type="expression" dxfId="30" priority="14">
      <formula>$C1="Cognitive"</formula>
    </cfRule>
    <cfRule type="expression" dxfId="29" priority="15">
      <formula>$C1="Behavioural"</formula>
    </cfRule>
    <cfRule type="expression" dxfId="28" priority="16">
      <formula>$C1="Affective"</formula>
    </cfRule>
  </conditionalFormatting>
  <conditionalFormatting sqref="O2">
    <cfRule type="expression" dxfId="27" priority="9">
      <formula>$C1="Ethical"</formula>
    </cfRule>
    <cfRule type="expression" dxfId="26" priority="10">
      <formula>$C1="Cognitive"</formula>
    </cfRule>
    <cfRule type="expression" dxfId="25" priority="11">
      <formula>$C1="Behavioural"</formula>
    </cfRule>
    <cfRule type="expression" dxfId="24" priority="12">
      <formula>$C1="Affective"</formula>
    </cfRule>
  </conditionalFormatting>
  <conditionalFormatting sqref="P2">
    <cfRule type="expression" dxfId="23" priority="5">
      <formula>$C1="Ethical"</formula>
    </cfRule>
    <cfRule type="expression" dxfId="22" priority="6">
      <formula>$C1="Cognitive"</formula>
    </cfRule>
    <cfRule type="expression" dxfId="21" priority="7">
      <formula>$C1="Behavioural"</formula>
    </cfRule>
    <cfRule type="expression" dxfId="20" priority="8">
      <formula>$C1="Affective"</formula>
    </cfRule>
  </conditionalFormatting>
  <conditionalFormatting sqref="Q2">
    <cfRule type="expression" dxfId="19" priority="1">
      <formula>$C1="Ethical"</formula>
    </cfRule>
    <cfRule type="expression" dxfId="18" priority="2">
      <formula>$C1="Cognitive"</formula>
    </cfRule>
    <cfRule type="expression" dxfId="17" priority="3">
      <formula>$C1="Behavioural"</formula>
    </cfRule>
    <cfRule type="expression" dxfId="16" priority="4">
      <formula>$C1="Affective"</formula>
    </cfRule>
  </conditionalFormatting>
  <conditionalFormatting sqref="B3">
    <cfRule type="expression" dxfId="3" priority="61">
      <formula>#REF!="Ethical"</formula>
    </cfRule>
    <cfRule type="expression" dxfId="2" priority="62">
      <formula>#REF!="Cognitive"</formula>
    </cfRule>
    <cfRule type="expression" dxfId="1" priority="63">
      <formula>#REF!="Behavioural"</formula>
    </cfRule>
    <cfRule type="expression" dxfId="0" priority="64">
      <formula>#REF!="Affective"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5B25E-5C3E-495D-8BAD-4D62250B510F}">
  <sheetPr>
    <tabColor rgb="FFFFFF00"/>
  </sheetPr>
  <dimension ref="A1:B117"/>
  <sheetViews>
    <sheetView zoomScale="130" zoomScaleNormal="130" workbookViewId="0">
      <selection activeCell="B7" sqref="B7"/>
    </sheetView>
  </sheetViews>
  <sheetFormatPr defaultColWidth="8.59765625" defaultRowHeight="13.2"/>
  <cols>
    <col min="1" max="1" width="13.3984375" style="2" bestFit="1" customWidth="1"/>
    <col min="2" max="2" width="75.59765625" style="13" customWidth="1"/>
    <col min="3" max="16384" width="8.59765625" style="2"/>
  </cols>
  <sheetData>
    <row r="1" spans="1:2">
      <c r="A1" s="1" t="s">
        <v>0</v>
      </c>
      <c r="B1" s="19" t="s">
        <v>1</v>
      </c>
    </row>
    <row r="2" spans="1:2">
      <c r="A2" s="3" t="s">
        <v>2</v>
      </c>
      <c r="B2" s="20" t="s">
        <v>3</v>
      </c>
    </row>
    <row r="3" spans="1:2">
      <c r="A3" s="5" t="s">
        <v>2</v>
      </c>
      <c r="B3" s="7" t="s">
        <v>4</v>
      </c>
    </row>
    <row r="4" spans="1:2">
      <c r="A4" s="5" t="s">
        <v>5</v>
      </c>
      <c r="B4" s="9" t="s">
        <v>6</v>
      </c>
    </row>
    <row r="5" spans="1:2">
      <c r="A5" s="5" t="s">
        <v>5</v>
      </c>
      <c r="B5" s="9" t="s">
        <v>7</v>
      </c>
    </row>
    <row r="6" spans="1:2">
      <c r="A6" s="5" t="s">
        <v>5</v>
      </c>
      <c r="B6" s="9" t="s">
        <v>8</v>
      </c>
    </row>
    <row r="7" spans="1:2">
      <c r="A7" s="5" t="s">
        <v>5</v>
      </c>
      <c r="B7" s="9" t="s">
        <v>9</v>
      </c>
    </row>
    <row r="8" spans="1:2">
      <c r="A8" s="5" t="s">
        <v>5</v>
      </c>
      <c r="B8" s="9" t="s">
        <v>10</v>
      </c>
    </row>
    <row r="9" spans="1:2">
      <c r="A9" s="5" t="s">
        <v>5</v>
      </c>
      <c r="B9" s="9" t="s">
        <v>11</v>
      </c>
    </row>
    <row r="10" spans="1:2">
      <c r="A10" s="5" t="s">
        <v>5</v>
      </c>
      <c r="B10" s="9" t="s">
        <v>12</v>
      </c>
    </row>
    <row r="11" spans="1:2">
      <c r="A11" s="5" t="s">
        <v>5</v>
      </c>
      <c r="B11" s="9" t="s">
        <v>13</v>
      </c>
    </row>
    <row r="12" spans="1:2" ht="26.4">
      <c r="A12" s="5" t="s">
        <v>5</v>
      </c>
      <c r="B12" s="7" t="s">
        <v>462</v>
      </c>
    </row>
    <row r="13" spans="1:2">
      <c r="A13" s="5" t="s">
        <v>5</v>
      </c>
      <c r="B13" s="9" t="s">
        <v>14</v>
      </c>
    </row>
    <row r="14" spans="1:2">
      <c r="A14" s="5" t="s">
        <v>5</v>
      </c>
      <c r="B14" s="9" t="s">
        <v>15</v>
      </c>
    </row>
    <row r="15" spans="1:2">
      <c r="A15" s="5" t="s">
        <v>5</v>
      </c>
      <c r="B15" s="9" t="s">
        <v>16</v>
      </c>
    </row>
    <row r="16" spans="1:2">
      <c r="A16" s="5" t="s">
        <v>5</v>
      </c>
      <c r="B16" s="9" t="s">
        <v>17</v>
      </c>
    </row>
    <row r="17" spans="1:2">
      <c r="A17" s="5" t="s">
        <v>5</v>
      </c>
      <c r="B17" s="9" t="s">
        <v>12</v>
      </c>
    </row>
    <row r="18" spans="1:2">
      <c r="A18" s="5" t="s">
        <v>5</v>
      </c>
      <c r="B18" s="7" t="s">
        <v>18</v>
      </c>
    </row>
    <row r="19" spans="1:2">
      <c r="A19" s="5" t="s">
        <v>5</v>
      </c>
      <c r="B19" s="9" t="s">
        <v>19</v>
      </c>
    </row>
    <row r="20" spans="1:2">
      <c r="A20" s="5" t="s">
        <v>5</v>
      </c>
      <c r="B20" s="9" t="s">
        <v>7</v>
      </c>
    </row>
    <row r="21" spans="1:2">
      <c r="A21" s="5" t="s">
        <v>5</v>
      </c>
      <c r="B21" s="7" t="s">
        <v>20</v>
      </c>
    </row>
    <row r="22" spans="1:2">
      <c r="A22" s="5" t="s">
        <v>5</v>
      </c>
      <c r="B22" s="9" t="s">
        <v>9</v>
      </c>
    </row>
    <row r="23" spans="1:2">
      <c r="A23" s="5" t="s">
        <v>5</v>
      </c>
      <c r="B23" s="9" t="s">
        <v>21</v>
      </c>
    </row>
    <row r="24" spans="1:2">
      <c r="A24" s="5" t="s">
        <v>5</v>
      </c>
      <c r="B24" s="9" t="s">
        <v>22</v>
      </c>
    </row>
    <row r="25" spans="1:2">
      <c r="A25" s="3" t="s">
        <v>23</v>
      </c>
      <c r="B25" s="20" t="s">
        <v>24</v>
      </c>
    </row>
    <row r="26" spans="1:2">
      <c r="A26" s="5" t="s">
        <v>23</v>
      </c>
      <c r="B26" s="7" t="s">
        <v>25</v>
      </c>
    </row>
    <row r="27" spans="1:2">
      <c r="A27" s="5" t="s">
        <v>23</v>
      </c>
      <c r="B27" s="8" t="s">
        <v>26</v>
      </c>
    </row>
    <row r="28" spans="1:2">
      <c r="A28" s="5" t="s">
        <v>23</v>
      </c>
      <c r="B28" s="8" t="s">
        <v>27</v>
      </c>
    </row>
    <row r="29" spans="1:2">
      <c r="A29" s="5" t="s">
        <v>23</v>
      </c>
      <c r="B29" s="8" t="s">
        <v>28</v>
      </c>
    </row>
    <row r="30" spans="1:2">
      <c r="A30" s="5" t="s">
        <v>23</v>
      </c>
      <c r="B30" s="8" t="s">
        <v>29</v>
      </c>
    </row>
    <row r="31" spans="1:2">
      <c r="A31" s="5" t="s">
        <v>23</v>
      </c>
      <c r="B31" s="8" t="s">
        <v>30</v>
      </c>
    </row>
    <row r="32" spans="1:2">
      <c r="A32" s="5" t="s">
        <v>23</v>
      </c>
      <c r="B32" s="9" t="s">
        <v>31</v>
      </c>
    </row>
    <row r="33" spans="1:2">
      <c r="A33" s="5" t="s">
        <v>23</v>
      </c>
      <c r="B33" s="7" t="s">
        <v>32</v>
      </c>
    </row>
    <row r="34" spans="1:2">
      <c r="A34" s="5" t="s">
        <v>23</v>
      </c>
      <c r="B34" s="9" t="s">
        <v>33</v>
      </c>
    </row>
    <row r="35" spans="1:2">
      <c r="A35" s="5" t="s">
        <v>23</v>
      </c>
      <c r="B35" s="9" t="s">
        <v>34</v>
      </c>
    </row>
    <row r="36" spans="1:2">
      <c r="A36" s="5" t="s">
        <v>23</v>
      </c>
      <c r="B36" s="9" t="s">
        <v>35</v>
      </c>
    </row>
    <row r="37" spans="1:2">
      <c r="A37" s="5" t="s">
        <v>23</v>
      </c>
      <c r="B37" s="7" t="s">
        <v>36</v>
      </c>
    </row>
    <row r="38" spans="1:2">
      <c r="A38" s="5" t="s">
        <v>23</v>
      </c>
      <c r="B38" s="9" t="s">
        <v>37</v>
      </c>
    </row>
    <row r="39" spans="1:2">
      <c r="A39" s="5" t="s">
        <v>23</v>
      </c>
      <c r="B39" s="9" t="s">
        <v>38</v>
      </c>
    </row>
    <row r="40" spans="1:2">
      <c r="A40" s="5" t="s">
        <v>23</v>
      </c>
      <c r="B40" s="9" t="s">
        <v>39</v>
      </c>
    </row>
    <row r="41" spans="1:2">
      <c r="A41" s="5" t="s">
        <v>23</v>
      </c>
      <c r="B41" s="9" t="s">
        <v>40</v>
      </c>
    </row>
    <row r="42" spans="1:2">
      <c r="A42" s="5" t="s">
        <v>23</v>
      </c>
      <c r="B42" s="9" t="s">
        <v>41</v>
      </c>
    </row>
    <row r="43" spans="1:2">
      <c r="A43" s="5" t="s">
        <v>23</v>
      </c>
      <c r="B43" s="9" t="s">
        <v>42</v>
      </c>
    </row>
    <row r="44" spans="1:2">
      <c r="A44" s="5" t="s">
        <v>23</v>
      </c>
      <c r="B44" s="9" t="s">
        <v>43</v>
      </c>
    </row>
    <row r="45" spans="1:2" ht="26.4">
      <c r="A45" s="5" t="s">
        <v>23</v>
      </c>
      <c r="B45" s="7" t="s">
        <v>44</v>
      </c>
    </row>
    <row r="46" spans="1:2">
      <c r="A46" s="10" t="s">
        <v>45</v>
      </c>
      <c r="B46" s="21" t="s">
        <v>46</v>
      </c>
    </row>
    <row r="47" spans="1:2">
      <c r="A47" s="11" t="s">
        <v>45</v>
      </c>
      <c r="B47" s="8" t="s">
        <v>47</v>
      </c>
    </row>
    <row r="48" spans="1:2">
      <c r="A48" s="11" t="s">
        <v>45</v>
      </c>
      <c r="B48" s="8" t="s">
        <v>48</v>
      </c>
    </row>
    <row r="49" spans="1:2">
      <c r="A49" s="11" t="s">
        <v>45</v>
      </c>
      <c r="B49" s="8" t="s">
        <v>49</v>
      </c>
    </row>
    <row r="50" spans="1:2">
      <c r="A50" s="11" t="s">
        <v>45</v>
      </c>
      <c r="B50" s="7" t="s">
        <v>50</v>
      </c>
    </row>
    <row r="51" spans="1:2">
      <c r="A51" s="11" t="s">
        <v>45</v>
      </c>
      <c r="B51" s="7" t="s">
        <v>51</v>
      </c>
    </row>
    <row r="52" spans="1:2">
      <c r="A52" s="11" t="s">
        <v>45</v>
      </c>
      <c r="B52" s="8" t="s">
        <v>52</v>
      </c>
    </row>
    <row r="53" spans="1:2">
      <c r="A53" s="11" t="s">
        <v>45</v>
      </c>
      <c r="B53" s="8" t="s">
        <v>53</v>
      </c>
    </row>
    <row r="54" spans="1:2">
      <c r="A54" s="11" t="s">
        <v>45</v>
      </c>
      <c r="B54" s="8" t="s">
        <v>54</v>
      </c>
    </row>
    <row r="55" spans="1:2">
      <c r="A55" s="11" t="s">
        <v>45</v>
      </c>
      <c r="B55" s="8" t="s">
        <v>55</v>
      </c>
    </row>
    <row r="56" spans="1:2">
      <c r="A56" s="11" t="s">
        <v>45</v>
      </c>
      <c r="B56" s="7" t="s">
        <v>56</v>
      </c>
    </row>
    <row r="57" spans="1:2">
      <c r="A57" s="11" t="s">
        <v>45</v>
      </c>
      <c r="B57" s="8" t="s">
        <v>57</v>
      </c>
    </row>
    <row r="58" spans="1:2">
      <c r="A58" s="11" t="s">
        <v>45</v>
      </c>
      <c r="B58" s="8" t="s">
        <v>58</v>
      </c>
    </row>
    <row r="59" spans="1:2">
      <c r="A59" s="11" t="s">
        <v>45</v>
      </c>
      <c r="B59" s="8" t="s">
        <v>59</v>
      </c>
    </row>
    <row r="60" spans="1:2">
      <c r="A60" s="11" t="s">
        <v>45</v>
      </c>
      <c r="B60" s="7" t="s">
        <v>60</v>
      </c>
    </row>
    <row r="61" spans="1:2">
      <c r="A61" s="11" t="s">
        <v>45</v>
      </c>
      <c r="B61" s="22" t="s">
        <v>61</v>
      </c>
    </row>
    <row r="62" spans="1:2">
      <c r="A62" s="11" t="s">
        <v>45</v>
      </c>
      <c r="B62" s="8" t="s">
        <v>62</v>
      </c>
    </row>
    <row r="63" spans="1:2">
      <c r="A63" s="11" t="s">
        <v>45</v>
      </c>
      <c r="B63" s="7" t="s">
        <v>63</v>
      </c>
    </row>
    <row r="64" spans="1:2">
      <c r="A64" s="11" t="s">
        <v>45</v>
      </c>
      <c r="B64" s="22" t="s">
        <v>64</v>
      </c>
    </row>
    <row r="65" spans="1:2">
      <c r="A65" s="11" t="s">
        <v>45</v>
      </c>
      <c r="B65" s="22" t="s">
        <v>65</v>
      </c>
    </row>
    <row r="66" spans="1:2">
      <c r="A66" s="11" t="s">
        <v>45</v>
      </c>
      <c r="B66" s="8" t="s">
        <v>66</v>
      </c>
    </row>
    <row r="67" spans="1:2">
      <c r="A67" s="11" t="s">
        <v>45</v>
      </c>
      <c r="B67" s="8" t="s">
        <v>67</v>
      </c>
    </row>
    <row r="68" spans="1:2">
      <c r="A68" s="11" t="s">
        <v>45</v>
      </c>
      <c r="B68" s="8" t="s">
        <v>68</v>
      </c>
    </row>
    <row r="69" spans="1:2">
      <c r="A69" s="11" t="s">
        <v>45</v>
      </c>
      <c r="B69" s="8" t="s">
        <v>69</v>
      </c>
    </row>
    <row r="70" spans="1:2">
      <c r="A70" s="11" t="s">
        <v>45</v>
      </c>
      <c r="B70" s="7" t="s">
        <v>70</v>
      </c>
    </row>
    <row r="71" spans="1:2">
      <c r="A71" s="11" t="s">
        <v>45</v>
      </c>
      <c r="B71" s="8" t="s">
        <v>70</v>
      </c>
    </row>
    <row r="72" spans="1:2">
      <c r="A72" s="11" t="s">
        <v>45</v>
      </c>
      <c r="B72" s="8" t="s">
        <v>71</v>
      </c>
    </row>
    <row r="73" spans="1:2">
      <c r="A73" s="11" t="s">
        <v>45</v>
      </c>
      <c r="B73" s="8" t="s">
        <v>72</v>
      </c>
    </row>
    <row r="74" spans="1:2">
      <c r="A74" s="11" t="s">
        <v>45</v>
      </c>
      <c r="B74" s="8" t="s">
        <v>73</v>
      </c>
    </row>
    <row r="75" spans="1:2">
      <c r="A75" s="11" t="s">
        <v>45</v>
      </c>
      <c r="B75" s="8" t="s">
        <v>74</v>
      </c>
    </row>
    <row r="76" spans="1:2">
      <c r="A76" s="11" t="s">
        <v>45</v>
      </c>
      <c r="B76" s="8" t="s">
        <v>75</v>
      </c>
    </row>
    <row r="77" spans="1:2">
      <c r="A77" s="11" t="s">
        <v>45</v>
      </c>
      <c r="B77" s="7" t="s">
        <v>76</v>
      </c>
    </row>
    <row r="78" spans="1:2">
      <c r="A78" s="11" t="s">
        <v>45</v>
      </c>
      <c r="B78" s="8" t="s">
        <v>77</v>
      </c>
    </row>
    <row r="79" spans="1:2">
      <c r="A79" s="11" t="s">
        <v>45</v>
      </c>
      <c r="B79" s="8" t="s">
        <v>78</v>
      </c>
    </row>
    <row r="80" spans="1:2">
      <c r="A80" s="11" t="s">
        <v>45</v>
      </c>
      <c r="B80" s="8" t="s">
        <v>79</v>
      </c>
    </row>
    <row r="81" spans="1:2">
      <c r="A81" s="11" t="s">
        <v>45</v>
      </c>
      <c r="B81" s="8" t="s">
        <v>80</v>
      </c>
    </row>
    <row r="82" spans="1:2">
      <c r="A82" s="11" t="s">
        <v>45</v>
      </c>
      <c r="B82" s="8" t="s">
        <v>81</v>
      </c>
    </row>
    <row r="83" spans="1:2">
      <c r="A83" s="11" t="s">
        <v>45</v>
      </c>
      <c r="B83" s="8" t="s">
        <v>82</v>
      </c>
    </row>
    <row r="84" spans="1:2">
      <c r="A84" s="11" t="s">
        <v>45</v>
      </c>
      <c r="B84" s="8" t="s">
        <v>83</v>
      </c>
    </row>
    <row r="85" spans="1:2">
      <c r="A85" s="11" t="s">
        <v>45</v>
      </c>
      <c r="B85" s="8" t="s">
        <v>84</v>
      </c>
    </row>
    <row r="86" spans="1:2">
      <c r="A86" s="11" t="s">
        <v>45</v>
      </c>
      <c r="B86" s="8" t="s">
        <v>85</v>
      </c>
    </row>
    <row r="87" spans="1:2">
      <c r="A87" s="11" t="s">
        <v>45</v>
      </c>
      <c r="B87" s="8" t="s">
        <v>86</v>
      </c>
    </row>
    <row r="88" spans="1:2">
      <c r="A88" s="11" t="s">
        <v>45</v>
      </c>
      <c r="B88" s="8" t="s">
        <v>87</v>
      </c>
    </row>
    <row r="89" spans="1:2">
      <c r="A89" s="11" t="s">
        <v>45</v>
      </c>
      <c r="B89" s="8" t="s">
        <v>88</v>
      </c>
    </row>
    <row r="90" spans="1:2">
      <c r="A90" s="11" t="s">
        <v>45</v>
      </c>
      <c r="B90" s="7" t="s">
        <v>89</v>
      </c>
    </row>
    <row r="91" spans="1:2" ht="26.4">
      <c r="A91" s="11" t="s">
        <v>45</v>
      </c>
      <c r="B91" s="7" t="s">
        <v>90</v>
      </c>
    </row>
    <row r="92" spans="1:2">
      <c r="A92" s="11" t="s">
        <v>45</v>
      </c>
      <c r="B92" s="8" t="s">
        <v>91</v>
      </c>
    </row>
    <row r="93" spans="1:2">
      <c r="A93" s="10" t="s">
        <v>92</v>
      </c>
      <c r="B93" s="21" t="s">
        <v>93</v>
      </c>
    </row>
    <row r="94" spans="1:2">
      <c r="A94" s="11" t="s">
        <v>92</v>
      </c>
      <c r="B94" s="8" t="s">
        <v>94</v>
      </c>
    </row>
    <row r="95" spans="1:2">
      <c r="A95" s="11" t="s">
        <v>92</v>
      </c>
      <c r="B95" s="8" t="s">
        <v>95</v>
      </c>
    </row>
    <row r="96" spans="1:2">
      <c r="A96" s="11" t="s">
        <v>92</v>
      </c>
      <c r="B96" s="7" t="s">
        <v>96</v>
      </c>
    </row>
    <row r="97" spans="1:2">
      <c r="A97" s="11" t="s">
        <v>92</v>
      </c>
      <c r="B97" s="8" t="s">
        <v>97</v>
      </c>
    </row>
    <row r="98" spans="1:2">
      <c r="A98" s="11" t="s">
        <v>92</v>
      </c>
      <c r="B98" s="8" t="s">
        <v>98</v>
      </c>
    </row>
    <row r="99" spans="1:2">
      <c r="A99" s="11" t="s">
        <v>92</v>
      </c>
      <c r="B99" s="7" t="s">
        <v>99</v>
      </c>
    </row>
    <row r="100" spans="1:2">
      <c r="A100" s="11" t="s">
        <v>92</v>
      </c>
      <c r="B100" s="8" t="s">
        <v>100</v>
      </c>
    </row>
    <row r="101" spans="1:2">
      <c r="A101" s="11" t="s">
        <v>92</v>
      </c>
      <c r="B101" s="8" t="s">
        <v>101</v>
      </c>
    </row>
    <row r="102" spans="1:2">
      <c r="A102" s="11" t="s">
        <v>92</v>
      </c>
      <c r="B102" s="8" t="s">
        <v>102</v>
      </c>
    </row>
    <row r="103" spans="1:2">
      <c r="A103" s="11" t="s">
        <v>92</v>
      </c>
      <c r="B103" s="8" t="s">
        <v>103</v>
      </c>
    </row>
    <row r="104" spans="1:2">
      <c r="A104" s="11" t="s">
        <v>92</v>
      </c>
      <c r="B104" s="8" t="s">
        <v>104</v>
      </c>
    </row>
    <row r="105" spans="1:2">
      <c r="A105" s="11" t="s">
        <v>92</v>
      </c>
      <c r="B105" s="8" t="s">
        <v>105</v>
      </c>
    </row>
    <row r="106" spans="1:2">
      <c r="A106" s="11" t="s">
        <v>92</v>
      </c>
      <c r="B106" s="8" t="s">
        <v>106</v>
      </c>
    </row>
    <row r="107" spans="1:2">
      <c r="A107" s="11" t="s">
        <v>92</v>
      </c>
      <c r="B107" s="8" t="s">
        <v>107</v>
      </c>
    </row>
    <row r="108" spans="1:2">
      <c r="A108" s="11" t="s">
        <v>92</v>
      </c>
      <c r="B108" s="8" t="s">
        <v>108</v>
      </c>
    </row>
    <row r="109" spans="1:2">
      <c r="A109" s="11" t="s">
        <v>92</v>
      </c>
      <c r="B109" s="7" t="s">
        <v>109</v>
      </c>
    </row>
    <row r="110" spans="1:2">
      <c r="A110" s="11" t="s">
        <v>92</v>
      </c>
      <c r="B110" s="8" t="s">
        <v>110</v>
      </c>
    </row>
    <row r="111" spans="1:2">
      <c r="A111" s="11" t="s">
        <v>92</v>
      </c>
      <c r="B111" s="8" t="s">
        <v>111</v>
      </c>
    </row>
    <row r="112" spans="1:2">
      <c r="A112" s="11" t="s">
        <v>92</v>
      </c>
      <c r="B112" s="7" t="s">
        <v>112</v>
      </c>
    </row>
    <row r="113" spans="1:2">
      <c r="A113" s="11" t="s">
        <v>92</v>
      </c>
      <c r="B113" s="8" t="s">
        <v>113</v>
      </c>
    </row>
    <row r="114" spans="1:2">
      <c r="A114" s="11" t="s">
        <v>92</v>
      </c>
      <c r="B114" s="8" t="s">
        <v>114</v>
      </c>
    </row>
    <row r="115" spans="1:2">
      <c r="A115" s="11" t="s">
        <v>92</v>
      </c>
      <c r="B115" s="8" t="s">
        <v>115</v>
      </c>
    </row>
    <row r="116" spans="1:2">
      <c r="A116" s="11" t="s">
        <v>92</v>
      </c>
      <c r="B116" s="8" t="s">
        <v>116</v>
      </c>
    </row>
    <row r="117" spans="1:2">
      <c r="A117" s="11" t="s">
        <v>92</v>
      </c>
      <c r="B117" s="8" t="s">
        <v>117</v>
      </c>
    </row>
  </sheetData>
  <autoFilter ref="A1:B117" xr:uid="{CE397625-E530-4FC0-92D7-62C3CD9894BD}">
    <sortState xmlns:xlrd2="http://schemas.microsoft.com/office/spreadsheetml/2017/richdata2" ref="A2:B117">
      <sortCondition ref="A1:A117"/>
    </sortState>
  </autoFilter>
  <phoneticPr fontId="3"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C0D7A-0EEF-4265-8414-BFFB3E8217B9}">
  <sheetPr>
    <tabColor rgb="FFFFFF00"/>
  </sheetPr>
  <dimension ref="A1:H273"/>
  <sheetViews>
    <sheetView workbookViewId="0">
      <selection activeCell="B16" sqref="B16"/>
    </sheetView>
  </sheetViews>
  <sheetFormatPr defaultColWidth="8.59765625" defaultRowHeight="13.2"/>
  <cols>
    <col min="1" max="1" width="8.69921875" style="2" customWidth="1"/>
    <col min="2" max="2" width="53.19921875" style="2" bestFit="1" customWidth="1"/>
    <col min="3" max="4" width="15.69921875" style="26" customWidth="1"/>
    <col min="5" max="8" width="18.19921875" style="2" customWidth="1"/>
    <col min="9" max="16384" width="8.59765625" style="2"/>
  </cols>
  <sheetData>
    <row r="1" spans="1:8">
      <c r="A1" s="12" t="s">
        <v>458</v>
      </c>
      <c r="B1" s="12" t="s">
        <v>1</v>
      </c>
      <c r="C1" s="12" t="s">
        <v>118</v>
      </c>
      <c r="D1" s="12" t="s">
        <v>119</v>
      </c>
      <c r="E1" s="12" t="s">
        <v>120</v>
      </c>
      <c r="F1" s="12" t="s">
        <v>121</v>
      </c>
      <c r="G1" s="12" t="s">
        <v>122</v>
      </c>
      <c r="H1" s="12" t="s">
        <v>123</v>
      </c>
    </row>
    <row r="2" spans="1:8">
      <c r="A2" s="18">
        <v>1</v>
      </c>
      <c r="B2" s="18" t="s">
        <v>124</v>
      </c>
      <c r="C2" s="24" t="s">
        <v>5</v>
      </c>
      <c r="D2" s="25">
        <v>0.60716676712036133</v>
      </c>
      <c r="E2" s="23">
        <v>0.60716676712036133</v>
      </c>
      <c r="F2" s="23">
        <v>0.45098567008972168</v>
      </c>
      <c r="G2" s="23">
        <v>0.45916640758514399</v>
      </c>
      <c r="H2" s="23">
        <v>0.56742149591445923</v>
      </c>
    </row>
    <row r="3" spans="1:8">
      <c r="A3" s="18">
        <v>4</v>
      </c>
      <c r="B3" s="18" t="s">
        <v>126</v>
      </c>
      <c r="C3" s="24" t="s">
        <v>5</v>
      </c>
      <c r="D3" s="25">
        <v>0.47942012548446661</v>
      </c>
      <c r="E3" s="23">
        <v>0.47942012548446661</v>
      </c>
      <c r="F3" s="23">
        <v>0.36195972561836243</v>
      </c>
      <c r="G3" s="23">
        <v>0.44542613625526428</v>
      </c>
      <c r="H3" s="23">
        <v>0.31410902738571173</v>
      </c>
    </row>
    <row r="4" spans="1:8">
      <c r="A4" s="18">
        <v>5</v>
      </c>
      <c r="B4" s="18" t="s">
        <v>127</v>
      </c>
      <c r="C4" s="24" t="s">
        <v>5</v>
      </c>
      <c r="D4" s="25">
        <v>0.61729574203491211</v>
      </c>
      <c r="E4" s="23">
        <v>0.61729574203491211</v>
      </c>
      <c r="F4" s="23">
        <v>0.54451298713684082</v>
      </c>
      <c r="G4" s="23">
        <v>0.57317459583282471</v>
      </c>
      <c r="H4" s="23">
        <v>0.35408571362495422</v>
      </c>
    </row>
    <row r="5" spans="1:8">
      <c r="A5" s="18">
        <v>5</v>
      </c>
      <c r="B5" s="18" t="s">
        <v>129</v>
      </c>
      <c r="C5" s="24" t="s">
        <v>5</v>
      </c>
      <c r="D5" s="25">
        <v>0.84888291358947754</v>
      </c>
      <c r="E5" s="23">
        <v>0.84888291358947754</v>
      </c>
      <c r="F5" s="23">
        <v>0.66174817085266113</v>
      </c>
      <c r="G5" s="23">
        <v>0.75792092084884644</v>
      </c>
      <c r="H5" s="23">
        <v>0.46610873937606812</v>
      </c>
    </row>
    <row r="6" spans="1:8">
      <c r="A6" s="18">
        <v>5</v>
      </c>
      <c r="B6" s="18" t="s">
        <v>130</v>
      </c>
      <c r="C6" s="24" t="s">
        <v>5</v>
      </c>
      <c r="D6" s="25">
        <v>0.82603514194488525</v>
      </c>
      <c r="E6" s="23">
        <v>0.82603514194488525</v>
      </c>
      <c r="F6" s="23">
        <v>0.59542548656463623</v>
      </c>
      <c r="G6" s="23">
        <v>0.75262320041656494</v>
      </c>
      <c r="H6" s="23">
        <v>0.46976619958877558</v>
      </c>
    </row>
    <row r="7" spans="1:8">
      <c r="A7" s="18">
        <v>5</v>
      </c>
      <c r="B7" s="18" t="s">
        <v>131</v>
      </c>
      <c r="C7" s="24" t="s">
        <v>5</v>
      </c>
      <c r="D7" s="25">
        <v>0.80094814300537109</v>
      </c>
      <c r="E7" s="23">
        <v>0.80094814300537109</v>
      </c>
      <c r="F7" s="23">
        <v>0.59717082977294922</v>
      </c>
      <c r="G7" s="23">
        <v>0.6293947696685791</v>
      </c>
      <c r="H7" s="23">
        <v>0.33563652634620672</v>
      </c>
    </row>
    <row r="8" spans="1:8">
      <c r="A8" s="18">
        <v>8</v>
      </c>
      <c r="B8" s="18" t="s">
        <v>132</v>
      </c>
      <c r="C8" s="24" t="s">
        <v>5</v>
      </c>
      <c r="D8" s="25">
        <v>0.6814274787902832</v>
      </c>
      <c r="E8" s="23">
        <v>0.6814274787902832</v>
      </c>
      <c r="F8" s="23">
        <v>0.42333224415779108</v>
      </c>
      <c r="G8" s="23">
        <v>0.54782438278198242</v>
      </c>
      <c r="H8" s="23">
        <v>0.44302111864089971</v>
      </c>
    </row>
    <row r="9" spans="1:8">
      <c r="A9" s="18">
        <v>8</v>
      </c>
      <c r="B9" s="18" t="s">
        <v>133</v>
      </c>
      <c r="C9" s="24" t="s">
        <v>5</v>
      </c>
      <c r="D9" s="25">
        <v>0.69511139392852783</v>
      </c>
      <c r="E9" s="23">
        <v>0.69511139392852783</v>
      </c>
      <c r="F9" s="23">
        <v>0.63121724128723145</v>
      </c>
      <c r="G9" s="23">
        <v>0.57192182540893555</v>
      </c>
      <c r="H9" s="23">
        <v>0.61387056112289429</v>
      </c>
    </row>
    <row r="10" spans="1:8">
      <c r="A10" s="18">
        <v>9</v>
      </c>
      <c r="B10" s="18" t="s">
        <v>134</v>
      </c>
      <c r="C10" s="24" t="s">
        <v>5</v>
      </c>
      <c r="D10" s="25">
        <v>0.70169895887374878</v>
      </c>
      <c r="E10" s="23">
        <v>0.70169895887374878</v>
      </c>
      <c r="F10" s="23">
        <v>0.55207902193069458</v>
      </c>
      <c r="G10" s="23">
        <v>0.51729661226272583</v>
      </c>
      <c r="H10" s="23">
        <v>0.34804666042327881</v>
      </c>
    </row>
    <row r="11" spans="1:8">
      <c r="A11" s="18">
        <v>10</v>
      </c>
      <c r="B11" s="18" t="s">
        <v>135</v>
      </c>
      <c r="C11" s="24" t="s">
        <v>5</v>
      </c>
      <c r="D11" s="25">
        <v>1</v>
      </c>
      <c r="E11" s="23">
        <v>1</v>
      </c>
      <c r="F11" s="23">
        <v>0.68103617429733276</v>
      </c>
      <c r="G11" s="23">
        <v>0.5048147439956665</v>
      </c>
      <c r="H11" s="23">
        <v>0.53446561098098755</v>
      </c>
    </row>
    <row r="12" spans="1:8">
      <c r="A12" s="18">
        <v>12</v>
      </c>
      <c r="B12" s="18" t="s">
        <v>136</v>
      </c>
      <c r="C12" s="24" t="s">
        <v>5</v>
      </c>
      <c r="D12" s="25">
        <v>0.42477113008499151</v>
      </c>
      <c r="E12" s="23">
        <v>0.42477113008499151</v>
      </c>
      <c r="F12" s="23">
        <v>0.34736335277557367</v>
      </c>
      <c r="G12" s="23">
        <v>0.37727516889572138</v>
      </c>
      <c r="H12" s="23">
        <v>0.34336307644844061</v>
      </c>
    </row>
    <row r="13" spans="1:8">
      <c r="A13" s="18">
        <v>18</v>
      </c>
      <c r="B13" s="18" t="s">
        <v>137</v>
      </c>
      <c r="C13" s="24" t="s">
        <v>5</v>
      </c>
      <c r="D13" s="25">
        <v>0.67091727256774902</v>
      </c>
      <c r="E13" s="23">
        <v>0.67091727256774902</v>
      </c>
      <c r="F13" s="23">
        <v>0.40768846869468689</v>
      </c>
      <c r="G13" s="23">
        <v>0.48054054379463201</v>
      </c>
      <c r="H13" s="23">
        <v>0.42074161767959589</v>
      </c>
    </row>
    <row r="14" spans="1:8">
      <c r="A14" s="18">
        <v>18</v>
      </c>
      <c r="B14" s="18" t="s">
        <v>138</v>
      </c>
      <c r="C14" s="24" t="s">
        <v>5</v>
      </c>
      <c r="D14" s="25">
        <v>0.68431520462036133</v>
      </c>
      <c r="E14" s="23">
        <v>0.68431520462036133</v>
      </c>
      <c r="F14" s="23">
        <v>0.45380163192749018</v>
      </c>
      <c r="G14" s="23">
        <v>0.4445456862449646</v>
      </c>
      <c r="H14" s="23">
        <v>0.43282595276832581</v>
      </c>
    </row>
    <row r="15" spans="1:8">
      <c r="A15" s="18">
        <v>18</v>
      </c>
      <c r="B15" s="18" t="s">
        <v>139</v>
      </c>
      <c r="C15" s="24" t="s">
        <v>5</v>
      </c>
      <c r="D15" s="25">
        <v>0.877907395362854</v>
      </c>
      <c r="E15" s="23">
        <v>0.877907395362854</v>
      </c>
      <c r="F15" s="23">
        <v>0.635459303855896</v>
      </c>
      <c r="G15" s="23">
        <v>0.54874646663665771</v>
      </c>
      <c r="H15" s="23">
        <v>0.57272893190383911</v>
      </c>
    </row>
    <row r="16" spans="1:8">
      <c r="A16" s="18">
        <v>19</v>
      </c>
      <c r="B16" s="18" t="s">
        <v>140</v>
      </c>
      <c r="C16" s="24" t="s">
        <v>5</v>
      </c>
      <c r="D16" s="25">
        <v>0.74910151958465576</v>
      </c>
      <c r="E16" s="23">
        <v>0.74910151958465576</v>
      </c>
      <c r="F16" s="23">
        <v>0.60711491107940674</v>
      </c>
      <c r="G16" s="23">
        <v>0.66273236274719238</v>
      </c>
      <c r="H16" s="23">
        <v>0.37765970826148992</v>
      </c>
    </row>
    <row r="17" spans="1:8">
      <c r="A17" s="18">
        <v>20</v>
      </c>
      <c r="B17" s="18" t="s">
        <v>141</v>
      </c>
      <c r="C17" s="24" t="s">
        <v>5</v>
      </c>
      <c r="D17" s="25">
        <v>0.79135078191757202</v>
      </c>
      <c r="E17" s="23">
        <v>0.79135078191757202</v>
      </c>
      <c r="F17" s="23">
        <v>0.39741778373718262</v>
      </c>
      <c r="G17" s="23">
        <v>0.55873322486877441</v>
      </c>
      <c r="H17" s="23">
        <v>0.48549604415893549</v>
      </c>
    </row>
    <row r="18" spans="1:8">
      <c r="A18" s="18">
        <v>20</v>
      </c>
      <c r="B18" s="18" t="s">
        <v>142</v>
      </c>
      <c r="C18" s="24" t="s">
        <v>5</v>
      </c>
      <c r="D18" s="25">
        <v>0.49802207946777338</v>
      </c>
      <c r="E18" s="23">
        <v>0.49802207946777338</v>
      </c>
      <c r="F18" s="23">
        <v>0.47255197167396551</v>
      </c>
      <c r="G18" s="23">
        <v>0.40765094757080078</v>
      </c>
      <c r="H18" s="23">
        <v>0.4443213939666748</v>
      </c>
    </row>
    <row r="19" spans="1:8">
      <c r="A19" s="18">
        <v>22</v>
      </c>
      <c r="B19" s="18" t="s">
        <v>143</v>
      </c>
      <c r="C19" s="24" t="s">
        <v>5</v>
      </c>
      <c r="D19" s="25">
        <v>0.54241698980331421</v>
      </c>
      <c r="E19" s="23">
        <v>0.54241698980331421</v>
      </c>
      <c r="F19" s="23">
        <v>0.39953446388244629</v>
      </c>
      <c r="G19" s="23">
        <v>0.53409570455551147</v>
      </c>
      <c r="H19" s="23">
        <v>0.48480328917503362</v>
      </c>
    </row>
    <row r="20" spans="1:8">
      <c r="A20" s="18">
        <v>25</v>
      </c>
      <c r="B20" s="18" t="s">
        <v>144</v>
      </c>
      <c r="C20" s="24" t="s">
        <v>5</v>
      </c>
      <c r="D20" s="25">
        <v>0.89413213729858398</v>
      </c>
      <c r="E20" s="23">
        <v>0.89413213729858398</v>
      </c>
      <c r="F20" s="23">
        <v>0.57982397079467773</v>
      </c>
      <c r="G20" s="23">
        <v>0.51080024242401123</v>
      </c>
      <c r="H20" s="23">
        <v>0.41952612996101379</v>
      </c>
    </row>
    <row r="21" spans="1:8">
      <c r="A21" s="18">
        <v>25</v>
      </c>
      <c r="B21" s="18" t="s">
        <v>145</v>
      </c>
      <c r="C21" s="24" t="s">
        <v>5</v>
      </c>
      <c r="D21" s="25">
        <v>0.95928108692169189</v>
      </c>
      <c r="E21" s="23">
        <v>0.95928108692169189</v>
      </c>
      <c r="F21" s="23">
        <v>0.56822812557220459</v>
      </c>
      <c r="G21" s="23">
        <v>0.52426826953887939</v>
      </c>
      <c r="H21" s="23">
        <v>0.50429332256317139</v>
      </c>
    </row>
    <row r="22" spans="1:8">
      <c r="A22" s="18">
        <v>27</v>
      </c>
      <c r="B22" s="18" t="s">
        <v>146</v>
      </c>
      <c r="C22" s="24" t="s">
        <v>5</v>
      </c>
      <c r="D22" s="25">
        <v>0.84584325551986694</v>
      </c>
      <c r="E22" s="23">
        <v>0.84584325551986694</v>
      </c>
      <c r="F22" s="23">
        <v>0.64021694660186768</v>
      </c>
      <c r="G22" s="23">
        <v>0.47401612997055048</v>
      </c>
      <c r="H22" s="23">
        <v>0.60864341259002686</v>
      </c>
    </row>
    <row r="23" spans="1:8">
      <c r="A23" s="18">
        <v>28</v>
      </c>
      <c r="B23" s="18" t="s">
        <v>147</v>
      </c>
      <c r="C23" s="24" t="s">
        <v>5</v>
      </c>
      <c r="D23" s="25">
        <v>0.60434967279434204</v>
      </c>
      <c r="E23" s="23">
        <v>0.60434967279434204</v>
      </c>
      <c r="F23" s="23">
        <v>0.40676778554916382</v>
      </c>
      <c r="G23" s="23">
        <v>0.47762846946716309</v>
      </c>
      <c r="H23" s="23">
        <v>0.41530704498291021</v>
      </c>
    </row>
    <row r="24" spans="1:8">
      <c r="A24" s="18">
        <v>29</v>
      </c>
      <c r="B24" s="18" t="s">
        <v>148</v>
      </c>
      <c r="C24" s="24" t="s">
        <v>5</v>
      </c>
      <c r="D24" s="25">
        <v>0.62711870670318604</v>
      </c>
      <c r="E24" s="23">
        <v>0.62711870670318604</v>
      </c>
      <c r="F24" s="23">
        <v>0.55737143754959106</v>
      </c>
      <c r="G24" s="23">
        <v>0.59914052486419678</v>
      </c>
      <c r="H24" s="23">
        <v>0.35011383891105652</v>
      </c>
    </row>
    <row r="25" spans="1:8">
      <c r="A25" s="18">
        <v>31</v>
      </c>
      <c r="B25" s="18" t="s">
        <v>149</v>
      </c>
      <c r="C25" s="24" t="s">
        <v>5</v>
      </c>
      <c r="D25" s="25">
        <v>0.51662945747375488</v>
      </c>
      <c r="E25" s="23">
        <v>0.51662945747375488</v>
      </c>
      <c r="F25" s="23">
        <v>0.44014120101928711</v>
      </c>
      <c r="G25" s="23">
        <v>0.45743459463119512</v>
      </c>
      <c r="H25" s="23">
        <v>0.48663938045501709</v>
      </c>
    </row>
    <row r="26" spans="1:8">
      <c r="A26" s="18">
        <v>31</v>
      </c>
      <c r="B26" s="18" t="s">
        <v>150</v>
      </c>
      <c r="C26" s="24" t="s">
        <v>5</v>
      </c>
      <c r="D26" s="25">
        <v>0.80538499355316162</v>
      </c>
      <c r="E26" s="23">
        <v>0.80538499355316162</v>
      </c>
      <c r="F26" s="23">
        <v>0.59065878391265869</v>
      </c>
      <c r="G26" s="23">
        <v>0.67084348201751709</v>
      </c>
      <c r="H26" s="23">
        <v>0.34607318043708801</v>
      </c>
    </row>
    <row r="27" spans="1:8">
      <c r="A27" s="18">
        <v>32</v>
      </c>
      <c r="B27" s="18" t="s">
        <v>151</v>
      </c>
      <c r="C27" s="24" t="s">
        <v>5</v>
      </c>
      <c r="D27" s="25">
        <v>0.64784920215606689</v>
      </c>
      <c r="E27" s="23">
        <v>0.64784920215606689</v>
      </c>
      <c r="F27" s="23">
        <v>0.52400040626525879</v>
      </c>
      <c r="G27" s="23">
        <v>0.56865769624710083</v>
      </c>
      <c r="H27" s="23">
        <v>0.39512825012207031</v>
      </c>
    </row>
    <row r="28" spans="1:8">
      <c r="A28" s="18">
        <v>32</v>
      </c>
      <c r="B28" s="18" t="s">
        <v>152</v>
      </c>
      <c r="C28" s="24" t="s">
        <v>5</v>
      </c>
      <c r="D28" s="25">
        <v>0.64722710847854614</v>
      </c>
      <c r="E28" s="23">
        <v>0.64722710847854614</v>
      </c>
      <c r="F28" s="23">
        <v>0.44563987851142878</v>
      </c>
      <c r="G28" s="23">
        <v>0.54006278514862061</v>
      </c>
      <c r="H28" s="23">
        <v>0.54522830247879028</v>
      </c>
    </row>
    <row r="29" spans="1:8">
      <c r="A29" s="18">
        <v>33</v>
      </c>
      <c r="B29" s="18" t="s">
        <v>141</v>
      </c>
      <c r="C29" s="24" t="s">
        <v>5</v>
      </c>
      <c r="D29" s="25">
        <v>0.79135078191757202</v>
      </c>
      <c r="E29" s="23">
        <v>0.79135078191757202</v>
      </c>
      <c r="F29" s="23">
        <v>0.39741778373718262</v>
      </c>
      <c r="G29" s="23">
        <v>0.55873322486877441</v>
      </c>
      <c r="H29" s="23">
        <v>0.48549604415893549</v>
      </c>
    </row>
    <row r="30" spans="1:8">
      <c r="A30" s="18">
        <v>36</v>
      </c>
      <c r="B30" s="18" t="s">
        <v>153</v>
      </c>
      <c r="C30" s="24" t="s">
        <v>5</v>
      </c>
      <c r="D30" s="25">
        <v>0.70948928594589233</v>
      </c>
      <c r="E30" s="23">
        <v>0.70948928594589233</v>
      </c>
      <c r="F30" s="23">
        <v>0.43768242001533508</v>
      </c>
      <c r="G30" s="23">
        <v>0.68679457902908325</v>
      </c>
      <c r="H30" s="23">
        <v>0.48605573177337652</v>
      </c>
    </row>
    <row r="31" spans="1:8">
      <c r="A31" s="18">
        <v>36</v>
      </c>
      <c r="B31" s="18" t="s">
        <v>154</v>
      </c>
      <c r="C31" s="24" t="s">
        <v>5</v>
      </c>
      <c r="D31" s="25">
        <v>0.59487205743789673</v>
      </c>
      <c r="E31" s="23">
        <v>0.59487205743789673</v>
      </c>
      <c r="F31" s="23">
        <v>0.47497648000717158</v>
      </c>
      <c r="G31" s="23">
        <v>0.56659674644470215</v>
      </c>
      <c r="H31" s="23">
        <v>0.48668894171714783</v>
      </c>
    </row>
    <row r="32" spans="1:8">
      <c r="A32" s="18">
        <v>37</v>
      </c>
      <c r="B32" s="18" t="s">
        <v>155</v>
      </c>
      <c r="C32" s="24" t="s">
        <v>5</v>
      </c>
      <c r="D32" s="25">
        <v>0.74844717979431152</v>
      </c>
      <c r="E32" s="23">
        <v>0.74844717979431152</v>
      </c>
      <c r="F32" s="23">
        <v>0.56456887722015381</v>
      </c>
      <c r="G32" s="23">
        <v>0.5393519401550293</v>
      </c>
      <c r="H32" s="23">
        <v>0.4632989764213562</v>
      </c>
    </row>
    <row r="33" spans="1:8">
      <c r="A33" s="18">
        <v>37</v>
      </c>
      <c r="B33" s="18" t="s">
        <v>156</v>
      </c>
      <c r="C33" s="24" t="s">
        <v>5</v>
      </c>
      <c r="D33" s="25">
        <v>0.68800228834152222</v>
      </c>
      <c r="E33" s="23">
        <v>0.68800228834152222</v>
      </c>
      <c r="F33" s="23">
        <v>0.53377008438110352</v>
      </c>
      <c r="G33" s="23">
        <v>0.53511065244674683</v>
      </c>
      <c r="H33" s="23">
        <v>0.44541817903518682</v>
      </c>
    </row>
    <row r="34" spans="1:8">
      <c r="A34" s="18">
        <v>37</v>
      </c>
      <c r="B34" s="18" t="s">
        <v>157</v>
      </c>
      <c r="C34" s="24" t="s">
        <v>5</v>
      </c>
      <c r="D34" s="25">
        <v>0.65063005685806274</v>
      </c>
      <c r="E34" s="23">
        <v>0.65063005685806274</v>
      </c>
      <c r="F34" s="23">
        <v>0.58948898315429688</v>
      </c>
      <c r="G34" s="23">
        <v>0.60177171230316162</v>
      </c>
      <c r="H34" s="23">
        <v>0.46873751282691961</v>
      </c>
    </row>
    <row r="35" spans="1:8">
      <c r="A35" s="18">
        <v>37</v>
      </c>
      <c r="B35" s="18" t="s">
        <v>158</v>
      </c>
      <c r="C35" s="24" t="s">
        <v>5</v>
      </c>
      <c r="D35" s="25">
        <v>0.67766398191452026</v>
      </c>
      <c r="E35" s="23">
        <v>0.67766398191452026</v>
      </c>
      <c r="F35" s="23">
        <v>0.58825147151947021</v>
      </c>
      <c r="G35" s="23">
        <v>0.62159603834152222</v>
      </c>
      <c r="H35" s="23">
        <v>0.40642055869102478</v>
      </c>
    </row>
    <row r="36" spans="1:8">
      <c r="A36" s="18">
        <v>38</v>
      </c>
      <c r="B36" s="18" t="s">
        <v>159</v>
      </c>
      <c r="C36" s="24" t="s">
        <v>5</v>
      </c>
      <c r="D36" s="25">
        <v>0.80814266204833984</v>
      </c>
      <c r="E36" s="23">
        <v>0.80814266204833984</v>
      </c>
      <c r="F36" s="23">
        <v>0.73911261558532715</v>
      </c>
      <c r="G36" s="23">
        <v>0.48464149236679083</v>
      </c>
      <c r="H36" s="23">
        <v>0.69380903244018555</v>
      </c>
    </row>
    <row r="37" spans="1:8">
      <c r="A37" s="18">
        <v>39</v>
      </c>
      <c r="B37" s="18" t="s">
        <v>160</v>
      </c>
      <c r="C37" s="24" t="s">
        <v>5</v>
      </c>
      <c r="D37" s="25">
        <v>0.78916525840759277</v>
      </c>
      <c r="E37" s="23">
        <v>0.78916525840759277</v>
      </c>
      <c r="F37" s="23">
        <v>0.53944790363311768</v>
      </c>
      <c r="G37" s="23">
        <v>0.7506864070892334</v>
      </c>
      <c r="H37" s="23">
        <v>0.51448941230773926</v>
      </c>
    </row>
    <row r="38" spans="1:8">
      <c r="A38" s="18">
        <v>39</v>
      </c>
      <c r="B38" s="18" t="s">
        <v>161</v>
      </c>
      <c r="C38" s="24" t="s">
        <v>5</v>
      </c>
      <c r="D38" s="25">
        <v>0.85409414768218994</v>
      </c>
      <c r="E38" s="23">
        <v>0.85409414768218994</v>
      </c>
      <c r="F38" s="23">
        <v>0.59059971570968628</v>
      </c>
      <c r="G38" s="23">
        <v>0.65076947212219238</v>
      </c>
      <c r="H38" s="23">
        <v>0.51656806468963623</v>
      </c>
    </row>
    <row r="39" spans="1:8">
      <c r="A39" s="18">
        <v>41</v>
      </c>
      <c r="B39" s="18" t="s">
        <v>162</v>
      </c>
      <c r="C39" s="24" t="s">
        <v>5</v>
      </c>
      <c r="D39" s="25">
        <v>0.5810081958770752</v>
      </c>
      <c r="E39" s="23">
        <v>0.5810081958770752</v>
      </c>
      <c r="F39" s="23">
        <v>0.4390099048614502</v>
      </c>
      <c r="G39" s="23">
        <v>0.55057352781295776</v>
      </c>
      <c r="H39" s="23">
        <v>0.4772551953792572</v>
      </c>
    </row>
    <row r="40" spans="1:8">
      <c r="A40" s="18">
        <v>1</v>
      </c>
      <c r="B40" s="18" t="s">
        <v>163</v>
      </c>
      <c r="C40" s="24" t="s">
        <v>23</v>
      </c>
      <c r="D40" s="25">
        <v>0.94312310218811035</v>
      </c>
      <c r="E40" s="23">
        <v>0.49075594544410711</v>
      </c>
      <c r="F40" s="23">
        <v>0.94312310218811035</v>
      </c>
      <c r="G40" s="23">
        <v>0.54824233055114746</v>
      </c>
      <c r="H40" s="23">
        <v>0.53273648023605347</v>
      </c>
    </row>
    <row r="41" spans="1:8">
      <c r="A41" s="18">
        <v>4</v>
      </c>
      <c r="B41" s="18" t="s">
        <v>164</v>
      </c>
      <c r="C41" s="24" t="s">
        <v>23</v>
      </c>
      <c r="D41" s="25">
        <v>0.63614833354949951</v>
      </c>
      <c r="E41" s="23">
        <v>0.58995848894119263</v>
      </c>
      <c r="F41" s="23">
        <v>0.63614833354949951</v>
      </c>
      <c r="G41" s="23">
        <v>0.55247259140014648</v>
      </c>
      <c r="H41" s="23">
        <v>0.60326606035232544</v>
      </c>
    </row>
    <row r="42" spans="1:8">
      <c r="A42" s="18">
        <v>8</v>
      </c>
      <c r="B42" s="18" t="s">
        <v>165</v>
      </c>
      <c r="C42" s="24" t="s">
        <v>23</v>
      </c>
      <c r="D42" s="25">
        <v>0.86881089210510254</v>
      </c>
      <c r="E42" s="23">
        <v>0.41684699058532709</v>
      </c>
      <c r="F42" s="23">
        <v>0.86881089210510254</v>
      </c>
      <c r="G42" s="23">
        <v>0.78821069002151489</v>
      </c>
      <c r="H42" s="23">
        <v>0.50257861614227295</v>
      </c>
    </row>
    <row r="43" spans="1:8">
      <c r="A43" s="18">
        <v>9</v>
      </c>
      <c r="B43" s="18" t="s">
        <v>163</v>
      </c>
      <c r="C43" s="24" t="s">
        <v>23</v>
      </c>
      <c r="D43" s="25">
        <v>0.94312310218811035</v>
      </c>
      <c r="E43" s="23">
        <v>0.49075594544410711</v>
      </c>
      <c r="F43" s="23">
        <v>0.94312310218811035</v>
      </c>
      <c r="G43" s="23">
        <v>0.54824233055114746</v>
      </c>
      <c r="H43" s="23">
        <v>0.53273648023605347</v>
      </c>
    </row>
    <row r="44" spans="1:8">
      <c r="A44" s="18">
        <v>10</v>
      </c>
      <c r="B44" s="18" t="s">
        <v>166</v>
      </c>
      <c r="C44" s="24" t="s">
        <v>23</v>
      </c>
      <c r="D44" s="25">
        <v>1</v>
      </c>
      <c r="E44" s="23">
        <v>0.68103599548339844</v>
      </c>
      <c r="F44" s="23">
        <v>1</v>
      </c>
      <c r="G44" s="23">
        <v>0.54773461818695068</v>
      </c>
      <c r="H44" s="23">
        <v>0.55277431011199951</v>
      </c>
    </row>
    <row r="45" spans="1:8">
      <c r="A45" s="18">
        <v>19</v>
      </c>
      <c r="B45" s="18" t="s">
        <v>167</v>
      </c>
      <c r="C45" s="24" t="s">
        <v>23</v>
      </c>
      <c r="D45" s="25">
        <v>0.81132692098617554</v>
      </c>
      <c r="E45" s="23">
        <v>0.7111973762512207</v>
      </c>
      <c r="F45" s="23">
        <v>0.81132692098617554</v>
      </c>
      <c r="G45" s="23">
        <v>0.7395176887512207</v>
      </c>
      <c r="H45" s="23">
        <v>0.52343297004699707</v>
      </c>
    </row>
    <row r="46" spans="1:8">
      <c r="A46" s="18">
        <v>19</v>
      </c>
      <c r="B46" s="18" t="s">
        <v>168</v>
      </c>
      <c r="C46" s="24" t="s">
        <v>23</v>
      </c>
      <c r="D46" s="25">
        <v>0.60422712564468384</v>
      </c>
      <c r="E46" s="23">
        <v>0.52922821044921875</v>
      </c>
      <c r="F46" s="23">
        <v>0.60422712564468384</v>
      </c>
      <c r="G46" s="23">
        <v>0.5363050103187561</v>
      </c>
      <c r="H46" s="23">
        <v>0.46857410669326782</v>
      </c>
    </row>
    <row r="47" spans="1:8">
      <c r="A47" s="18">
        <v>19</v>
      </c>
      <c r="B47" s="18" t="s">
        <v>169</v>
      </c>
      <c r="C47" s="24" t="s">
        <v>23</v>
      </c>
      <c r="D47" s="25">
        <v>0.76783454418182373</v>
      </c>
      <c r="E47" s="23">
        <v>0.57385313510894775</v>
      </c>
      <c r="F47" s="23">
        <v>0.76783454418182373</v>
      </c>
      <c r="G47" s="23">
        <v>0.6829679012298584</v>
      </c>
      <c r="H47" s="23">
        <v>0.40984216332435608</v>
      </c>
    </row>
    <row r="48" spans="1:8">
      <c r="A48" s="18">
        <v>20</v>
      </c>
      <c r="B48" s="18" t="s">
        <v>170</v>
      </c>
      <c r="C48" s="24" t="s">
        <v>23</v>
      </c>
      <c r="D48" s="25">
        <v>0.60010957717895508</v>
      </c>
      <c r="E48" s="23">
        <v>0.54247951507568359</v>
      </c>
      <c r="F48" s="23">
        <v>0.60010957717895508</v>
      </c>
      <c r="G48" s="23">
        <v>0.54117041826248169</v>
      </c>
      <c r="H48" s="23">
        <v>0.50597596168518066</v>
      </c>
    </row>
    <row r="49" spans="1:8">
      <c r="A49" s="18">
        <v>20</v>
      </c>
      <c r="B49" s="18" t="s">
        <v>171</v>
      </c>
      <c r="C49" s="24" t="s">
        <v>23</v>
      </c>
      <c r="D49" s="25">
        <v>0.50429844856262207</v>
      </c>
      <c r="E49" s="23">
        <v>0.50312185287475586</v>
      </c>
      <c r="F49" s="23">
        <v>0.50429844856262207</v>
      </c>
      <c r="G49" s="23">
        <v>0.47582277655601501</v>
      </c>
      <c r="H49" s="23">
        <v>0.44804126024246221</v>
      </c>
    </row>
    <row r="50" spans="1:8">
      <c r="A50" s="18">
        <v>21</v>
      </c>
      <c r="B50" s="18" t="s">
        <v>172</v>
      </c>
      <c r="C50" s="24" t="s">
        <v>23</v>
      </c>
      <c r="D50" s="25">
        <v>0.51281815767288208</v>
      </c>
      <c r="E50" s="23">
        <v>0.40519386529922491</v>
      </c>
      <c r="F50" s="23">
        <v>0.51281815767288208</v>
      </c>
      <c r="G50" s="23">
        <v>0.49921035766601563</v>
      </c>
      <c r="H50" s="23">
        <v>0.37249115109443659</v>
      </c>
    </row>
    <row r="51" spans="1:8">
      <c r="A51" s="18">
        <v>22</v>
      </c>
      <c r="B51" s="18" t="s">
        <v>173</v>
      </c>
      <c r="C51" s="24" t="s">
        <v>23</v>
      </c>
      <c r="D51" s="25">
        <v>0.68782305717468262</v>
      </c>
      <c r="E51" s="23">
        <v>0.62816768884658813</v>
      </c>
      <c r="F51" s="23">
        <v>0.68782305717468262</v>
      </c>
      <c r="G51" s="23">
        <v>0.63919204473495483</v>
      </c>
      <c r="H51" s="23">
        <v>0.54803633689880371</v>
      </c>
    </row>
    <row r="52" spans="1:8">
      <c r="A52" s="18">
        <v>24</v>
      </c>
      <c r="B52" s="18" t="s">
        <v>174</v>
      </c>
      <c r="C52" s="24" t="s">
        <v>23</v>
      </c>
      <c r="D52" s="25">
        <v>0.7908402681350708</v>
      </c>
      <c r="E52" s="23">
        <v>0.7843279242515564</v>
      </c>
      <c r="F52" s="23">
        <v>0.7908402681350708</v>
      </c>
      <c r="G52" s="23">
        <v>0.50628453493118286</v>
      </c>
      <c r="H52" s="23">
        <v>0.38092732429504389</v>
      </c>
    </row>
    <row r="53" spans="1:8">
      <c r="A53" s="18">
        <v>24</v>
      </c>
      <c r="B53" s="18" t="s">
        <v>175</v>
      </c>
      <c r="C53" s="24" t="s">
        <v>23</v>
      </c>
      <c r="D53" s="25">
        <v>0.89538753032684326</v>
      </c>
      <c r="E53" s="23">
        <v>0.5091400146484375</v>
      </c>
      <c r="F53" s="23">
        <v>0.89538753032684326</v>
      </c>
      <c r="G53" s="23">
        <v>0.55309963226318359</v>
      </c>
      <c r="H53" s="23">
        <v>0.43053942918777471</v>
      </c>
    </row>
    <row r="54" spans="1:8">
      <c r="A54" s="18">
        <v>25</v>
      </c>
      <c r="B54" s="18" t="s">
        <v>176</v>
      </c>
      <c r="C54" s="24" t="s">
        <v>23</v>
      </c>
      <c r="D54" s="25">
        <v>0.92830681800842285</v>
      </c>
      <c r="E54" s="23">
        <v>0.69225978851318359</v>
      </c>
      <c r="F54" s="23">
        <v>0.92830681800842285</v>
      </c>
      <c r="G54" s="23">
        <v>0.58029270172119141</v>
      </c>
      <c r="H54" s="23">
        <v>0.53690159320831299</v>
      </c>
    </row>
    <row r="55" spans="1:8">
      <c r="A55" s="18">
        <v>25</v>
      </c>
      <c r="B55" s="18" t="s">
        <v>177</v>
      </c>
      <c r="C55" s="24" t="s">
        <v>23</v>
      </c>
      <c r="D55" s="25">
        <v>0.74672591686248779</v>
      </c>
      <c r="E55" s="23">
        <v>0.68311047554016113</v>
      </c>
      <c r="F55" s="23">
        <v>0.74672591686248779</v>
      </c>
      <c r="G55" s="23">
        <v>0.51801472902297974</v>
      </c>
      <c r="H55" s="23">
        <v>0.52533251047134399</v>
      </c>
    </row>
    <row r="56" spans="1:8">
      <c r="A56" s="18">
        <v>25</v>
      </c>
      <c r="B56" s="18" t="s">
        <v>174</v>
      </c>
      <c r="C56" s="24" t="s">
        <v>23</v>
      </c>
      <c r="D56" s="25">
        <v>0.7908402681350708</v>
      </c>
      <c r="E56" s="23">
        <v>0.7843279242515564</v>
      </c>
      <c r="F56" s="23">
        <v>0.7908402681350708</v>
      </c>
      <c r="G56" s="23">
        <v>0.50628453493118286</v>
      </c>
      <c r="H56" s="23">
        <v>0.38092732429504389</v>
      </c>
    </row>
    <row r="57" spans="1:8">
      <c r="A57" s="18">
        <v>25</v>
      </c>
      <c r="B57" s="18" t="s">
        <v>178</v>
      </c>
      <c r="C57" s="24" t="s">
        <v>23</v>
      </c>
      <c r="D57" s="25">
        <v>0.85057896375656128</v>
      </c>
      <c r="E57" s="23">
        <v>0.52532947063446045</v>
      </c>
      <c r="F57" s="23">
        <v>0.85057896375656128</v>
      </c>
      <c r="G57" s="23">
        <v>0.59598445892333984</v>
      </c>
      <c r="H57" s="23">
        <v>0.45491576194763178</v>
      </c>
    </row>
    <row r="58" spans="1:8">
      <c r="A58" s="18">
        <v>26</v>
      </c>
      <c r="B58" s="18" t="s">
        <v>179</v>
      </c>
      <c r="C58" s="24" t="s">
        <v>23</v>
      </c>
      <c r="D58" s="25">
        <v>0.58331131935119629</v>
      </c>
      <c r="E58" s="23">
        <v>0.43969202041625982</v>
      </c>
      <c r="F58" s="23">
        <v>0.58331131935119629</v>
      </c>
      <c r="G58" s="23">
        <v>0.55359804630279541</v>
      </c>
      <c r="H58" s="23">
        <v>0.51228022575378418</v>
      </c>
    </row>
    <row r="59" spans="1:8">
      <c r="A59" s="18">
        <v>31</v>
      </c>
      <c r="B59" s="18" t="s">
        <v>180</v>
      </c>
      <c r="C59" s="24" t="s">
        <v>23</v>
      </c>
      <c r="D59" s="25">
        <v>0.55102819204330444</v>
      </c>
      <c r="E59" s="23">
        <v>0.53819358348846436</v>
      </c>
      <c r="F59" s="23">
        <v>0.55102819204330444</v>
      </c>
      <c r="G59" s="23">
        <v>0.49648979306221008</v>
      </c>
      <c r="H59" s="23">
        <v>0.50192403793334961</v>
      </c>
    </row>
    <row r="60" spans="1:8">
      <c r="A60" s="18">
        <v>31</v>
      </c>
      <c r="B60" s="18" t="s">
        <v>181</v>
      </c>
      <c r="C60" s="24" t="s">
        <v>23</v>
      </c>
      <c r="D60" s="25">
        <v>0.49370235204696661</v>
      </c>
      <c r="E60" s="23">
        <v>0.43334633111953741</v>
      </c>
      <c r="F60" s="23">
        <v>0.49370235204696661</v>
      </c>
      <c r="G60" s="23">
        <v>0.41548612713813782</v>
      </c>
      <c r="H60" s="23">
        <v>0.41852301359176641</v>
      </c>
    </row>
    <row r="61" spans="1:8">
      <c r="A61" s="18">
        <v>31</v>
      </c>
      <c r="B61" s="18" t="s">
        <v>182</v>
      </c>
      <c r="C61" s="24" t="s">
        <v>23</v>
      </c>
      <c r="D61" s="25">
        <v>0.77850258350372314</v>
      </c>
      <c r="E61" s="23">
        <v>0.52525222301483154</v>
      </c>
      <c r="F61" s="23">
        <v>0.77850258350372314</v>
      </c>
      <c r="G61" s="23">
        <v>0.61305117607116699</v>
      </c>
      <c r="H61" s="23">
        <v>0.42498725652694702</v>
      </c>
    </row>
    <row r="62" spans="1:8">
      <c r="A62" s="18">
        <v>31</v>
      </c>
      <c r="B62" s="18" t="s">
        <v>183</v>
      </c>
      <c r="C62" s="24" t="s">
        <v>23</v>
      </c>
      <c r="D62" s="25">
        <v>0.80013191699981689</v>
      </c>
      <c r="E62" s="23">
        <v>0.59084933996200562</v>
      </c>
      <c r="F62" s="23">
        <v>0.80013191699981689</v>
      </c>
      <c r="G62" s="23">
        <v>0.61782419681549072</v>
      </c>
      <c r="H62" s="23">
        <v>0.55225753784179688</v>
      </c>
    </row>
    <row r="63" spans="1:8">
      <c r="A63" s="18">
        <v>32</v>
      </c>
      <c r="B63" s="18" t="s">
        <v>184</v>
      </c>
      <c r="C63" s="24" t="s">
        <v>23</v>
      </c>
      <c r="D63" s="25">
        <v>0.76899945735931396</v>
      </c>
      <c r="E63" s="23">
        <v>0.50932669639587402</v>
      </c>
      <c r="F63" s="23">
        <v>0.76899945735931396</v>
      </c>
      <c r="G63" s="23">
        <v>0.58194214105606079</v>
      </c>
      <c r="H63" s="23">
        <v>0.53566247224807739</v>
      </c>
    </row>
    <row r="64" spans="1:8">
      <c r="A64" s="18">
        <v>32</v>
      </c>
      <c r="B64" s="18" t="s">
        <v>185</v>
      </c>
      <c r="C64" s="24" t="s">
        <v>23</v>
      </c>
      <c r="D64" s="25">
        <v>0.53876698017120361</v>
      </c>
      <c r="E64" s="23">
        <v>0.38844975829124451</v>
      </c>
      <c r="F64" s="23">
        <v>0.53876698017120361</v>
      </c>
      <c r="G64" s="23">
        <v>0.50223380327224731</v>
      </c>
      <c r="H64" s="23">
        <v>0.37103116512298578</v>
      </c>
    </row>
    <row r="65" spans="1:8">
      <c r="A65" s="18">
        <v>32</v>
      </c>
      <c r="B65" s="18" t="s">
        <v>186</v>
      </c>
      <c r="C65" s="24" t="s">
        <v>23</v>
      </c>
      <c r="D65" s="25">
        <v>0.55256801843643188</v>
      </c>
      <c r="E65" s="23">
        <v>0.5317915678024292</v>
      </c>
      <c r="F65" s="23">
        <v>0.55256801843643188</v>
      </c>
      <c r="G65" s="23">
        <v>0.49032831192016602</v>
      </c>
      <c r="H65" s="23">
        <v>0.47971636056900019</v>
      </c>
    </row>
    <row r="66" spans="1:8">
      <c r="A66" s="18">
        <v>33</v>
      </c>
      <c r="B66" s="18" t="s">
        <v>170</v>
      </c>
      <c r="C66" s="24" t="s">
        <v>23</v>
      </c>
      <c r="D66" s="25">
        <v>0.60010957717895508</v>
      </c>
      <c r="E66" s="23">
        <v>0.54247951507568359</v>
      </c>
      <c r="F66" s="23">
        <v>0.60010957717895508</v>
      </c>
      <c r="G66" s="23">
        <v>0.54117041826248169</v>
      </c>
      <c r="H66" s="23">
        <v>0.50597596168518066</v>
      </c>
    </row>
    <row r="67" spans="1:8">
      <c r="A67" s="18">
        <v>33</v>
      </c>
      <c r="B67" s="18" t="s">
        <v>187</v>
      </c>
      <c r="C67" s="24" t="s">
        <v>23</v>
      </c>
      <c r="D67" s="25">
        <v>0.55235922336578369</v>
      </c>
      <c r="E67" s="23">
        <v>0.53574371337890625</v>
      </c>
      <c r="F67" s="23">
        <v>0.55235922336578369</v>
      </c>
      <c r="G67" s="23">
        <v>0.51150697469711304</v>
      </c>
      <c r="H67" s="23">
        <v>0.46311885118484503</v>
      </c>
    </row>
    <row r="68" spans="1:8">
      <c r="A68" s="18">
        <v>33</v>
      </c>
      <c r="B68" s="18" t="s">
        <v>171</v>
      </c>
      <c r="C68" s="24" t="s">
        <v>23</v>
      </c>
      <c r="D68" s="25">
        <v>0.50429844856262207</v>
      </c>
      <c r="E68" s="23">
        <v>0.50312185287475586</v>
      </c>
      <c r="F68" s="23">
        <v>0.50429844856262207</v>
      </c>
      <c r="G68" s="23">
        <v>0.47582277655601501</v>
      </c>
      <c r="H68" s="23">
        <v>0.44804126024246221</v>
      </c>
    </row>
    <row r="69" spans="1:8">
      <c r="A69" s="18">
        <v>37</v>
      </c>
      <c r="B69" s="18" t="s">
        <v>188</v>
      </c>
      <c r="C69" s="24" t="s">
        <v>23</v>
      </c>
      <c r="D69" s="25">
        <v>0.68492388725280762</v>
      </c>
      <c r="E69" s="23">
        <v>0.613433837890625</v>
      </c>
      <c r="F69" s="23">
        <v>0.68492388725280762</v>
      </c>
      <c r="G69" s="23">
        <v>0.62522953748703003</v>
      </c>
      <c r="H69" s="23">
        <v>0.58570539951324463</v>
      </c>
    </row>
    <row r="70" spans="1:8">
      <c r="A70" s="18">
        <v>1</v>
      </c>
      <c r="B70" s="18" t="s">
        <v>189</v>
      </c>
      <c r="C70" s="24" t="s">
        <v>128</v>
      </c>
      <c r="D70" s="25">
        <v>0.8446306586265564</v>
      </c>
      <c r="E70" s="23">
        <v>0.61147302389144897</v>
      </c>
      <c r="F70" s="23">
        <v>0.54792875051498413</v>
      </c>
      <c r="G70" s="23">
        <v>0.8446306586265564</v>
      </c>
      <c r="H70" s="23">
        <v>0.55266213417053223</v>
      </c>
    </row>
    <row r="71" spans="1:8">
      <c r="A71" s="18">
        <v>1</v>
      </c>
      <c r="B71" s="18" t="s">
        <v>190</v>
      </c>
      <c r="C71" s="24" t="s">
        <v>128</v>
      </c>
      <c r="D71" s="25">
        <v>0.91089379787445068</v>
      </c>
      <c r="E71" s="23">
        <v>0.6040416955947876</v>
      </c>
      <c r="F71" s="23">
        <v>0.50312161445617676</v>
      </c>
      <c r="G71" s="23">
        <v>0.91089379787445068</v>
      </c>
      <c r="H71" s="23">
        <v>0.63145393133163452</v>
      </c>
    </row>
    <row r="72" spans="1:8">
      <c r="A72" s="18">
        <v>2</v>
      </c>
      <c r="B72" s="18" t="s">
        <v>191</v>
      </c>
      <c r="C72" s="24" t="s">
        <v>128</v>
      </c>
      <c r="D72" s="25">
        <v>0.74018430709838867</v>
      </c>
      <c r="E72" s="23">
        <v>0.56896466016769409</v>
      </c>
      <c r="F72" s="23">
        <v>0.45426633954048162</v>
      </c>
      <c r="G72" s="23">
        <v>0.74018430709838867</v>
      </c>
      <c r="H72" s="23">
        <v>0.51067054271697998</v>
      </c>
    </row>
    <row r="73" spans="1:8">
      <c r="A73" s="18">
        <v>2</v>
      </c>
      <c r="B73" s="18" t="s">
        <v>192</v>
      </c>
      <c r="C73" s="24" t="s">
        <v>128</v>
      </c>
      <c r="D73" s="25">
        <v>0.84635043144226074</v>
      </c>
      <c r="E73" s="23">
        <v>0.54840010404586792</v>
      </c>
      <c r="F73" s="23">
        <v>0.51123982667922974</v>
      </c>
      <c r="G73" s="23">
        <v>0.84635043144226074</v>
      </c>
      <c r="H73" s="23">
        <v>0.47978284955024719</v>
      </c>
    </row>
    <row r="74" spans="1:8">
      <c r="A74" s="18">
        <v>2</v>
      </c>
      <c r="B74" s="18" t="s">
        <v>193</v>
      </c>
      <c r="C74" s="24" t="s">
        <v>128</v>
      </c>
      <c r="D74" s="25">
        <v>0.76186013221740723</v>
      </c>
      <c r="E74" s="23">
        <v>0.49517354369163508</v>
      </c>
      <c r="F74" s="23">
        <v>0.51227521896362305</v>
      </c>
      <c r="G74" s="23">
        <v>0.76186013221740723</v>
      </c>
      <c r="H74" s="23">
        <v>0.52618902921676636</v>
      </c>
    </row>
    <row r="75" spans="1:8">
      <c r="A75" s="18">
        <v>2</v>
      </c>
      <c r="B75" s="18" t="s">
        <v>58</v>
      </c>
      <c r="C75" s="24" t="s">
        <v>128</v>
      </c>
      <c r="D75" s="25">
        <v>1</v>
      </c>
      <c r="E75" s="23">
        <v>0.5413622260093689</v>
      </c>
      <c r="F75" s="23">
        <v>0.48122948408126831</v>
      </c>
      <c r="G75" s="23">
        <v>1</v>
      </c>
      <c r="H75" s="23">
        <v>0.62747430801391602</v>
      </c>
    </row>
    <row r="76" spans="1:8">
      <c r="A76" s="18">
        <v>2</v>
      </c>
      <c r="B76" s="18" t="s">
        <v>54</v>
      </c>
      <c r="C76" s="24" t="s">
        <v>128</v>
      </c>
      <c r="D76" s="25">
        <v>0.99999994039535522</v>
      </c>
      <c r="E76" s="23">
        <v>0.40985909104347229</v>
      </c>
      <c r="F76" s="23">
        <v>0.4897773265838623</v>
      </c>
      <c r="G76" s="23">
        <v>0.99999994039535522</v>
      </c>
      <c r="H76" s="23">
        <v>0.47565141320228582</v>
      </c>
    </row>
    <row r="77" spans="1:8">
      <c r="A77" s="18">
        <v>3</v>
      </c>
      <c r="B77" s="18" t="s">
        <v>194</v>
      </c>
      <c r="C77" s="24" t="s">
        <v>128</v>
      </c>
      <c r="D77" s="25">
        <v>0.87043887376785278</v>
      </c>
      <c r="E77" s="23">
        <v>0.76623702049255371</v>
      </c>
      <c r="F77" s="23">
        <v>0.76073843240737915</v>
      </c>
      <c r="G77" s="23">
        <v>0.87043887376785278</v>
      </c>
      <c r="H77" s="23">
        <v>0.42655616998672491</v>
      </c>
    </row>
    <row r="78" spans="1:8">
      <c r="A78" s="18">
        <v>3</v>
      </c>
      <c r="B78" s="18" t="s">
        <v>195</v>
      </c>
      <c r="C78" s="24" t="s">
        <v>128</v>
      </c>
      <c r="D78" s="25">
        <v>0.64047014713287354</v>
      </c>
      <c r="E78" s="23">
        <v>0.5751039981842041</v>
      </c>
      <c r="F78" s="23">
        <v>0.59499609470367432</v>
      </c>
      <c r="G78" s="23">
        <v>0.64047014713287354</v>
      </c>
      <c r="H78" s="23">
        <v>0.43772685527801508</v>
      </c>
    </row>
    <row r="79" spans="1:8">
      <c r="A79" s="18">
        <v>3</v>
      </c>
      <c r="B79" s="18" t="s">
        <v>196</v>
      </c>
      <c r="C79" s="24" t="s">
        <v>128</v>
      </c>
      <c r="D79" s="25">
        <v>0.6233246922492981</v>
      </c>
      <c r="E79" s="23">
        <v>0.55662155151367188</v>
      </c>
      <c r="F79" s="23">
        <v>0.44981622695922852</v>
      </c>
      <c r="G79" s="23">
        <v>0.6233246922492981</v>
      </c>
      <c r="H79" s="23">
        <v>0.57457506656646729</v>
      </c>
    </row>
    <row r="80" spans="1:8">
      <c r="A80" s="18">
        <v>4</v>
      </c>
      <c r="B80" s="18" t="s">
        <v>197</v>
      </c>
      <c r="C80" s="24" t="s">
        <v>128</v>
      </c>
      <c r="D80" s="25">
        <v>0.68128973245620728</v>
      </c>
      <c r="E80" s="23">
        <v>0.53090882301330566</v>
      </c>
      <c r="F80" s="23">
        <v>0.4869881272315979</v>
      </c>
      <c r="G80" s="23">
        <v>0.68128973245620728</v>
      </c>
      <c r="H80" s="23">
        <v>0.45501434803009028</v>
      </c>
    </row>
    <row r="81" spans="1:8">
      <c r="A81" s="18">
        <v>6</v>
      </c>
      <c r="B81" s="18" t="s">
        <v>198</v>
      </c>
      <c r="C81" s="24" t="s">
        <v>128</v>
      </c>
      <c r="D81" s="25">
        <v>0.61347275972366333</v>
      </c>
      <c r="E81" s="23">
        <v>0.57987582683563232</v>
      </c>
      <c r="F81" s="23">
        <v>0.56531822681427002</v>
      </c>
      <c r="G81" s="23">
        <v>0.61347275972366333</v>
      </c>
      <c r="H81" s="23">
        <v>0.60392403602600098</v>
      </c>
    </row>
    <row r="82" spans="1:8">
      <c r="A82" s="18">
        <v>6</v>
      </c>
      <c r="B82" s="18" t="s">
        <v>190</v>
      </c>
      <c r="C82" s="24" t="s">
        <v>128</v>
      </c>
      <c r="D82" s="25">
        <v>0.91089379787445068</v>
      </c>
      <c r="E82" s="23">
        <v>0.6040416955947876</v>
      </c>
      <c r="F82" s="23">
        <v>0.50312161445617676</v>
      </c>
      <c r="G82" s="23">
        <v>0.91089379787445068</v>
      </c>
      <c r="H82" s="23">
        <v>0.63145393133163452</v>
      </c>
    </row>
    <row r="83" spans="1:8">
      <c r="A83" s="18">
        <v>7</v>
      </c>
      <c r="B83" s="18" t="s">
        <v>199</v>
      </c>
      <c r="C83" s="24" t="s">
        <v>128</v>
      </c>
      <c r="D83" s="25">
        <v>0.45396164059638983</v>
      </c>
      <c r="E83" s="23">
        <v>0.40905898809432978</v>
      </c>
      <c r="F83" s="23">
        <v>0.43537017703056341</v>
      </c>
      <c r="G83" s="23">
        <v>0.45396164059638983</v>
      </c>
      <c r="H83" s="23">
        <v>0.3693196177482605</v>
      </c>
    </row>
    <row r="84" spans="1:8">
      <c r="A84" s="18">
        <v>7</v>
      </c>
      <c r="B84" s="18" t="s">
        <v>200</v>
      </c>
      <c r="C84" s="24" t="s">
        <v>128</v>
      </c>
      <c r="D84" s="25">
        <v>0.75802165269851685</v>
      </c>
      <c r="E84" s="23">
        <v>0.6563490629196167</v>
      </c>
      <c r="F84" s="23">
        <v>0.54154288768768311</v>
      </c>
      <c r="G84" s="23">
        <v>0.75802165269851685</v>
      </c>
      <c r="H84" s="23">
        <v>0.73256665468215942</v>
      </c>
    </row>
    <row r="85" spans="1:8">
      <c r="A85" s="18">
        <v>7</v>
      </c>
      <c r="B85" s="18" t="s">
        <v>201</v>
      </c>
      <c r="C85" s="24" t="s">
        <v>128</v>
      </c>
      <c r="D85" s="25">
        <v>0.7187390923500061</v>
      </c>
      <c r="E85" s="23">
        <v>0.4981224536895752</v>
      </c>
      <c r="F85" s="23">
        <v>0.44153565168380737</v>
      </c>
      <c r="G85" s="23">
        <v>0.7187390923500061</v>
      </c>
      <c r="H85" s="23">
        <v>0.57891958951950073</v>
      </c>
    </row>
    <row r="86" spans="1:8">
      <c r="A86" s="18">
        <v>8</v>
      </c>
      <c r="B86" s="18" t="s">
        <v>202</v>
      </c>
      <c r="C86" s="24" t="s">
        <v>128</v>
      </c>
      <c r="D86" s="25">
        <v>0.67833638191223145</v>
      </c>
      <c r="E86" s="23">
        <v>0.53767514228820801</v>
      </c>
      <c r="F86" s="23">
        <v>0.65845561027526855</v>
      </c>
      <c r="G86" s="23">
        <v>0.67833638191223145</v>
      </c>
      <c r="H86" s="23">
        <v>0.36882159113883972</v>
      </c>
    </row>
    <row r="87" spans="1:8">
      <c r="A87" s="18">
        <v>8</v>
      </c>
      <c r="B87" s="18" t="s">
        <v>203</v>
      </c>
      <c r="C87" s="24" t="s">
        <v>128</v>
      </c>
      <c r="D87" s="25">
        <v>0.87238198518753052</v>
      </c>
      <c r="E87" s="23">
        <v>0.34671944379806519</v>
      </c>
      <c r="F87" s="23">
        <v>0.43438100814819341</v>
      </c>
      <c r="G87" s="23">
        <v>0.87238198518753052</v>
      </c>
      <c r="H87" s="23">
        <v>0.49229341745376592</v>
      </c>
    </row>
    <row r="88" spans="1:8">
      <c r="A88" s="18">
        <v>8</v>
      </c>
      <c r="B88" s="18" t="s">
        <v>204</v>
      </c>
      <c r="C88" s="24" t="s">
        <v>128</v>
      </c>
      <c r="D88" s="25">
        <v>0.64964574575424194</v>
      </c>
      <c r="E88" s="23">
        <v>0.54162472486495972</v>
      </c>
      <c r="F88" s="23">
        <v>0.45204341411590582</v>
      </c>
      <c r="G88" s="23">
        <v>0.64964574575424194</v>
      </c>
      <c r="H88" s="23">
        <v>0.56484228372573853</v>
      </c>
    </row>
    <row r="89" spans="1:8">
      <c r="A89" s="18">
        <v>8</v>
      </c>
      <c r="B89" s="18" t="s">
        <v>205</v>
      </c>
      <c r="C89" s="24" t="s">
        <v>128</v>
      </c>
      <c r="D89" s="25">
        <v>0.72725087404251099</v>
      </c>
      <c r="E89" s="23">
        <v>0.53325879573822021</v>
      </c>
      <c r="F89" s="23">
        <v>0.58693718910217285</v>
      </c>
      <c r="G89" s="23">
        <v>0.72725087404251099</v>
      </c>
      <c r="H89" s="23">
        <v>0.41679680347442633</v>
      </c>
    </row>
    <row r="90" spans="1:8">
      <c r="A90" s="18">
        <v>9</v>
      </c>
      <c r="B90" s="18" t="s">
        <v>206</v>
      </c>
      <c r="C90" s="24" t="s">
        <v>128</v>
      </c>
      <c r="D90" s="25">
        <v>0.62466931343078613</v>
      </c>
      <c r="E90" s="23">
        <v>0.61627364158630371</v>
      </c>
      <c r="F90" s="23">
        <v>0.44267120957374573</v>
      </c>
      <c r="G90" s="23">
        <v>0.62466931343078613</v>
      </c>
      <c r="H90" s="23">
        <v>0.43586674332618708</v>
      </c>
    </row>
    <row r="91" spans="1:8">
      <c r="A91" s="18">
        <v>10</v>
      </c>
      <c r="B91" s="18" t="s">
        <v>207</v>
      </c>
      <c r="C91" s="24" t="s">
        <v>128</v>
      </c>
      <c r="D91" s="25">
        <v>0.99999994039535522</v>
      </c>
      <c r="E91" s="23">
        <v>0.61308956146240234</v>
      </c>
      <c r="F91" s="23">
        <v>0.86199456453323364</v>
      </c>
      <c r="G91" s="23">
        <v>0.99999994039535522</v>
      </c>
      <c r="H91" s="23">
        <v>0.56089860200881958</v>
      </c>
    </row>
    <row r="92" spans="1:8">
      <c r="A92" s="18">
        <v>11</v>
      </c>
      <c r="B92" s="18" t="s">
        <v>208</v>
      </c>
      <c r="C92" s="24" t="s">
        <v>128</v>
      </c>
      <c r="D92" s="25">
        <v>0.78792238235473633</v>
      </c>
      <c r="E92" s="23">
        <v>0.67785078287124634</v>
      </c>
      <c r="F92" s="23">
        <v>0.71284979581832886</v>
      </c>
      <c r="G92" s="23">
        <v>0.78792238235473633</v>
      </c>
      <c r="H92" s="23">
        <v>0.28228119015693659</v>
      </c>
    </row>
    <row r="93" spans="1:8">
      <c r="A93" s="18">
        <v>11</v>
      </c>
      <c r="B93" s="18" t="s">
        <v>209</v>
      </c>
      <c r="C93" s="24" t="s">
        <v>128</v>
      </c>
      <c r="D93" s="25">
        <v>0.74686932563781738</v>
      </c>
      <c r="E93" s="23">
        <v>0.67609381675720215</v>
      </c>
      <c r="F93" s="23">
        <v>0.62681186199188232</v>
      </c>
      <c r="G93" s="23">
        <v>0.74686932563781738</v>
      </c>
      <c r="H93" s="23">
        <v>0.41472923755645752</v>
      </c>
    </row>
    <row r="94" spans="1:8">
      <c r="A94" s="18">
        <v>11</v>
      </c>
      <c r="B94" s="18" t="s">
        <v>210</v>
      </c>
      <c r="C94" s="24" t="s">
        <v>128</v>
      </c>
      <c r="D94" s="25">
        <v>0.78055047988891602</v>
      </c>
      <c r="E94" s="23">
        <v>0.65920078754425049</v>
      </c>
      <c r="F94" s="23">
        <v>0.71596288681030273</v>
      </c>
      <c r="G94" s="23">
        <v>0.78055047988891602</v>
      </c>
      <c r="H94" s="23">
        <v>0.38829630613327032</v>
      </c>
    </row>
    <row r="95" spans="1:8">
      <c r="A95" s="18">
        <v>11</v>
      </c>
      <c r="B95" s="18" t="s">
        <v>211</v>
      </c>
      <c r="C95" s="24" t="s">
        <v>128</v>
      </c>
      <c r="D95" s="25">
        <v>0.73858708143234253</v>
      </c>
      <c r="E95" s="23">
        <v>0.68022942543029785</v>
      </c>
      <c r="F95" s="23">
        <v>0.67228585481643677</v>
      </c>
      <c r="G95" s="23">
        <v>0.73858708143234253</v>
      </c>
      <c r="H95" s="23">
        <v>0.41721045970916748</v>
      </c>
    </row>
    <row r="96" spans="1:8">
      <c r="A96" s="18">
        <v>11</v>
      </c>
      <c r="B96" s="18" t="s">
        <v>212</v>
      </c>
      <c r="C96" s="24" t="s">
        <v>128</v>
      </c>
      <c r="D96" s="25">
        <v>0.80795907974243164</v>
      </c>
      <c r="E96" s="23">
        <v>0.6222231388092041</v>
      </c>
      <c r="F96" s="23">
        <v>0.65381765365600586</v>
      </c>
      <c r="G96" s="23">
        <v>0.80795907974243164</v>
      </c>
      <c r="H96" s="23">
        <v>0.44154942035675049</v>
      </c>
    </row>
    <row r="97" spans="1:8">
      <c r="A97" s="18">
        <v>12</v>
      </c>
      <c r="B97" s="18" t="s">
        <v>213</v>
      </c>
      <c r="C97" s="24" t="s">
        <v>128</v>
      </c>
      <c r="D97" s="25">
        <v>0.5268559455871582</v>
      </c>
      <c r="E97" s="23">
        <v>0.38466334342956537</v>
      </c>
      <c r="F97" s="23">
        <v>0.42476224899291992</v>
      </c>
      <c r="G97" s="23">
        <v>0.5268559455871582</v>
      </c>
      <c r="H97" s="23">
        <v>0.38174226880073547</v>
      </c>
    </row>
    <row r="98" spans="1:8">
      <c r="A98" s="18">
        <v>12</v>
      </c>
      <c r="B98" s="18" t="s">
        <v>214</v>
      </c>
      <c r="C98" s="24" t="s">
        <v>128</v>
      </c>
      <c r="D98" s="25">
        <v>0.46369963884353638</v>
      </c>
      <c r="E98" s="23">
        <v>0.23676556348800659</v>
      </c>
      <c r="F98" s="23">
        <v>0.38813233375549322</v>
      </c>
      <c r="G98" s="23">
        <v>0.46369963884353638</v>
      </c>
      <c r="H98" s="23">
        <v>0.43973308801651001</v>
      </c>
    </row>
    <row r="99" spans="1:8">
      <c r="A99" s="18">
        <v>12</v>
      </c>
      <c r="B99" s="18" t="s">
        <v>215</v>
      </c>
      <c r="C99" s="24" t="s">
        <v>128</v>
      </c>
      <c r="D99" s="25">
        <v>0.64206433296203613</v>
      </c>
      <c r="E99" s="23">
        <v>0.49433231353759771</v>
      </c>
      <c r="F99" s="23">
        <v>0.62298762798309326</v>
      </c>
      <c r="G99" s="23">
        <v>0.64206433296203613</v>
      </c>
      <c r="H99" s="23">
        <v>0.42592450976371771</v>
      </c>
    </row>
    <row r="100" spans="1:8">
      <c r="A100" s="18">
        <v>13</v>
      </c>
      <c r="B100" s="18" t="s">
        <v>216</v>
      </c>
      <c r="C100" s="24" t="s">
        <v>128</v>
      </c>
      <c r="D100" s="25">
        <v>0.65524184703826904</v>
      </c>
      <c r="E100" s="23">
        <v>0.62052476406097412</v>
      </c>
      <c r="F100" s="23">
        <v>0.54722064733505249</v>
      </c>
      <c r="G100" s="23">
        <v>0.65524184703826904</v>
      </c>
      <c r="H100" s="23">
        <v>0.51639217138290405</v>
      </c>
    </row>
    <row r="101" spans="1:8">
      <c r="A101" s="18">
        <v>13</v>
      </c>
      <c r="B101" s="18" t="s">
        <v>217</v>
      </c>
      <c r="C101" s="24" t="s">
        <v>128</v>
      </c>
      <c r="D101" s="25">
        <v>0.63787335157394409</v>
      </c>
      <c r="E101" s="23">
        <v>0.62696266174316406</v>
      </c>
      <c r="F101" s="23">
        <v>0.53869879245758057</v>
      </c>
      <c r="G101" s="23">
        <v>0.63787335157394409</v>
      </c>
      <c r="H101" s="23">
        <v>0.4156154990196228</v>
      </c>
    </row>
    <row r="102" spans="1:8">
      <c r="A102" s="18">
        <v>13</v>
      </c>
      <c r="B102" s="18" t="s">
        <v>218</v>
      </c>
      <c r="C102" s="24" t="s">
        <v>128</v>
      </c>
      <c r="D102" s="25">
        <v>0.70872211456298828</v>
      </c>
      <c r="E102" s="23">
        <v>0.60704302787780762</v>
      </c>
      <c r="F102" s="23">
        <v>0.61193162202835083</v>
      </c>
      <c r="G102" s="23">
        <v>0.70872211456298828</v>
      </c>
      <c r="H102" s="23">
        <v>0.37778890132904053</v>
      </c>
    </row>
    <row r="103" spans="1:8">
      <c r="A103" s="18">
        <v>13</v>
      </c>
      <c r="B103" s="18" t="s">
        <v>219</v>
      </c>
      <c r="C103" s="24" t="s">
        <v>128</v>
      </c>
      <c r="D103" s="25">
        <v>0.70282888412475586</v>
      </c>
      <c r="E103" s="23">
        <v>0.69914460182189941</v>
      </c>
      <c r="F103" s="23">
        <v>0.55484545230865479</v>
      </c>
      <c r="G103" s="23">
        <v>0.70282888412475586</v>
      </c>
      <c r="H103" s="23">
        <v>0.48674741387367249</v>
      </c>
    </row>
    <row r="104" spans="1:8">
      <c r="A104" s="18">
        <v>13</v>
      </c>
      <c r="B104" s="18" t="s">
        <v>220</v>
      </c>
      <c r="C104" s="24" t="s">
        <v>128</v>
      </c>
      <c r="D104" s="25">
        <v>0.73971766233444214</v>
      </c>
      <c r="E104" s="23">
        <v>0.62700492143630981</v>
      </c>
      <c r="F104" s="23">
        <v>0.68403935432434082</v>
      </c>
      <c r="G104" s="23">
        <v>0.73971766233444214</v>
      </c>
      <c r="H104" s="23">
        <v>0.32130065560340881</v>
      </c>
    </row>
    <row r="105" spans="1:8">
      <c r="A105" s="18">
        <v>15</v>
      </c>
      <c r="B105" s="18" t="s">
        <v>221</v>
      </c>
      <c r="C105" s="24" t="s">
        <v>128</v>
      </c>
      <c r="D105" s="25">
        <v>0.73264402151107788</v>
      </c>
      <c r="E105" s="23">
        <v>0.61917513608932495</v>
      </c>
      <c r="F105" s="23">
        <v>0.70932430028915405</v>
      </c>
      <c r="G105" s="23">
        <v>0.73264402151107788</v>
      </c>
      <c r="H105" s="23">
        <v>0.31500327587127691</v>
      </c>
    </row>
    <row r="106" spans="1:8">
      <c r="A106" s="18">
        <v>15</v>
      </c>
      <c r="B106" s="18" t="s">
        <v>222</v>
      </c>
      <c r="C106" s="24" t="s">
        <v>128</v>
      </c>
      <c r="D106" s="25">
        <v>0.78115487098693848</v>
      </c>
      <c r="E106" s="23">
        <v>0.70385199785232544</v>
      </c>
      <c r="F106" s="23">
        <v>0.70903730392456055</v>
      </c>
      <c r="G106" s="23">
        <v>0.78115487098693848</v>
      </c>
      <c r="H106" s="23">
        <v>0.48776823282241821</v>
      </c>
    </row>
    <row r="107" spans="1:8">
      <c r="A107" s="18">
        <v>15</v>
      </c>
      <c r="B107" s="18" t="s">
        <v>223</v>
      </c>
      <c r="C107" s="24" t="s">
        <v>128</v>
      </c>
      <c r="D107" s="25">
        <v>0.74596232175827026</v>
      </c>
      <c r="E107" s="23">
        <v>0.65548598766326904</v>
      </c>
      <c r="F107" s="23">
        <v>0.60796761512756348</v>
      </c>
      <c r="G107" s="23">
        <v>0.74596232175827026</v>
      </c>
      <c r="H107" s="23">
        <v>0.57710647583007813</v>
      </c>
    </row>
    <row r="108" spans="1:8">
      <c r="A108" s="18">
        <v>16</v>
      </c>
      <c r="B108" s="18" t="s">
        <v>224</v>
      </c>
      <c r="C108" s="24" t="s">
        <v>128</v>
      </c>
      <c r="D108" s="25">
        <v>0.79664862155914307</v>
      </c>
      <c r="E108" s="23">
        <v>0.5369110107421875</v>
      </c>
      <c r="F108" s="23">
        <v>0.59192764759063721</v>
      </c>
      <c r="G108" s="23">
        <v>0.79664862155914307</v>
      </c>
      <c r="H108" s="23">
        <v>0.73789215087890625</v>
      </c>
    </row>
    <row r="109" spans="1:8">
      <c r="A109" s="18">
        <v>16</v>
      </c>
      <c r="B109" s="18" t="s">
        <v>225</v>
      </c>
      <c r="C109" s="24" t="s">
        <v>128</v>
      </c>
      <c r="D109" s="25">
        <v>0.78086721897125244</v>
      </c>
      <c r="E109" s="23">
        <v>0.72432041168212891</v>
      </c>
      <c r="F109" s="23">
        <v>0.70240688323974609</v>
      </c>
      <c r="G109" s="23">
        <v>0.78086721897125244</v>
      </c>
      <c r="H109" s="23">
        <v>0.35123169422149658</v>
      </c>
    </row>
    <row r="110" spans="1:8">
      <c r="A110" s="18">
        <v>17</v>
      </c>
      <c r="B110" s="18" t="s">
        <v>226</v>
      </c>
      <c r="C110" s="24" t="s">
        <v>128</v>
      </c>
      <c r="D110" s="25">
        <v>0.54169398546218872</v>
      </c>
      <c r="E110" s="23">
        <v>0.32888138294219971</v>
      </c>
      <c r="F110" s="23">
        <v>0.29005837440490723</v>
      </c>
      <c r="G110" s="23">
        <v>0.54169398546218872</v>
      </c>
      <c r="H110" s="23">
        <v>0.32359603047370911</v>
      </c>
    </row>
    <row r="111" spans="1:8">
      <c r="A111" s="18">
        <v>17</v>
      </c>
      <c r="B111" s="18" t="s">
        <v>227</v>
      </c>
      <c r="C111" s="24" t="s">
        <v>128</v>
      </c>
      <c r="D111" s="25">
        <v>0.51568472385406494</v>
      </c>
      <c r="E111" s="23">
        <v>0.37865060567855829</v>
      </c>
      <c r="F111" s="23">
        <v>0.50565522909164429</v>
      </c>
      <c r="G111" s="23">
        <v>0.51568472385406494</v>
      </c>
      <c r="H111" s="23">
        <v>0.4525763988494873</v>
      </c>
    </row>
    <row r="112" spans="1:8">
      <c r="A112" s="18">
        <v>18</v>
      </c>
      <c r="B112" s="18" t="s">
        <v>228</v>
      </c>
      <c r="C112" s="24" t="s">
        <v>128</v>
      </c>
      <c r="D112" s="25">
        <v>0.81630754470825195</v>
      </c>
      <c r="E112" s="23">
        <v>0.56224310398101807</v>
      </c>
      <c r="F112" s="23">
        <v>0.56680774688720703</v>
      </c>
      <c r="G112" s="23">
        <v>0.81630754470825195</v>
      </c>
      <c r="H112" s="23">
        <v>0.48610743880271912</v>
      </c>
    </row>
    <row r="113" spans="1:8">
      <c r="A113" s="18">
        <v>18</v>
      </c>
      <c r="B113" s="18" t="s">
        <v>229</v>
      </c>
      <c r="C113" s="24" t="s">
        <v>128</v>
      </c>
      <c r="D113" s="25">
        <v>0.67777729034423828</v>
      </c>
      <c r="E113" s="23">
        <v>0.62571573257446289</v>
      </c>
      <c r="F113" s="23">
        <v>0.66949605941772461</v>
      </c>
      <c r="G113" s="23">
        <v>0.67777729034423828</v>
      </c>
      <c r="H113" s="23">
        <v>0.58878117799758911</v>
      </c>
    </row>
    <row r="114" spans="1:8">
      <c r="A114" s="18">
        <v>19</v>
      </c>
      <c r="B114" s="18" t="s">
        <v>230</v>
      </c>
      <c r="C114" s="24" t="s">
        <v>128</v>
      </c>
      <c r="D114" s="25">
        <v>0.82467097043991089</v>
      </c>
      <c r="E114" s="23">
        <v>0.7324671745300293</v>
      </c>
      <c r="F114" s="23">
        <v>0.67592740058898926</v>
      </c>
      <c r="G114" s="23">
        <v>0.82467097043991089</v>
      </c>
      <c r="H114" s="23">
        <v>0.52551209926605225</v>
      </c>
    </row>
    <row r="115" spans="1:8">
      <c r="A115" s="18">
        <v>20</v>
      </c>
      <c r="B115" s="18" t="s">
        <v>231</v>
      </c>
      <c r="C115" s="24" t="s">
        <v>128</v>
      </c>
      <c r="D115" s="25">
        <v>0.73786795139312744</v>
      </c>
      <c r="E115" s="23">
        <v>0.72345340251922607</v>
      </c>
      <c r="F115" s="23">
        <v>0.64562630653381348</v>
      </c>
      <c r="G115" s="23">
        <v>0.73786795139312744</v>
      </c>
      <c r="H115" s="23">
        <v>0.38753193616867071</v>
      </c>
    </row>
    <row r="116" spans="1:8">
      <c r="A116" s="18">
        <v>20</v>
      </c>
      <c r="B116" s="18" t="s">
        <v>232</v>
      </c>
      <c r="C116" s="24" t="s">
        <v>128</v>
      </c>
      <c r="D116" s="25">
        <v>0.63378196954727173</v>
      </c>
      <c r="E116" s="23">
        <v>0.59595692157745361</v>
      </c>
      <c r="F116" s="23">
        <v>0.53928780555725098</v>
      </c>
      <c r="G116" s="23">
        <v>0.63378196954727173</v>
      </c>
      <c r="H116" s="23">
        <v>0.52064657211303711</v>
      </c>
    </row>
    <row r="117" spans="1:8">
      <c r="A117" s="18">
        <v>20</v>
      </c>
      <c r="B117" s="18" t="s">
        <v>233</v>
      </c>
      <c r="C117" s="24" t="s">
        <v>128</v>
      </c>
      <c r="D117" s="25">
        <v>0.4793052077293396</v>
      </c>
      <c r="E117" s="23">
        <v>0.31012508273124689</v>
      </c>
      <c r="F117" s="23">
        <v>0.2464911341667175</v>
      </c>
      <c r="G117" s="23">
        <v>0.4793052077293396</v>
      </c>
      <c r="H117" s="23">
        <v>0.26621025800704962</v>
      </c>
    </row>
    <row r="118" spans="1:8">
      <c r="A118" s="18">
        <v>20</v>
      </c>
      <c r="B118" s="18" t="s">
        <v>234</v>
      </c>
      <c r="C118" s="24" t="s">
        <v>128</v>
      </c>
      <c r="D118" s="25">
        <v>0.4381299614906311</v>
      </c>
      <c r="E118" s="23">
        <v>0.42307513952255249</v>
      </c>
      <c r="F118" s="23">
        <v>0.37274065613746638</v>
      </c>
      <c r="G118" s="23">
        <v>0.4381299614906311</v>
      </c>
      <c r="H118" s="23">
        <v>0.29518276453018188</v>
      </c>
    </row>
    <row r="119" spans="1:8">
      <c r="A119" s="18">
        <v>20</v>
      </c>
      <c r="B119" s="18" t="s">
        <v>235</v>
      </c>
      <c r="C119" s="24" t="s">
        <v>128</v>
      </c>
      <c r="D119" s="25">
        <v>0.59747588634490967</v>
      </c>
      <c r="E119" s="23">
        <v>0.55217623710632324</v>
      </c>
      <c r="F119" s="23">
        <v>0.57371729612350464</v>
      </c>
      <c r="G119" s="23">
        <v>0.59747588634490967</v>
      </c>
      <c r="H119" s="23">
        <v>0.40328502655029302</v>
      </c>
    </row>
    <row r="120" spans="1:8">
      <c r="A120" s="18">
        <v>20</v>
      </c>
      <c r="B120" s="18" t="s">
        <v>236</v>
      </c>
      <c r="C120" s="24" t="s">
        <v>128</v>
      </c>
      <c r="D120" s="25">
        <v>0.60008519887924194</v>
      </c>
      <c r="E120" s="23">
        <v>0.52152901887893677</v>
      </c>
      <c r="F120" s="23">
        <v>0.4601997435092926</v>
      </c>
      <c r="G120" s="23">
        <v>0.60008519887924194</v>
      </c>
      <c r="H120" s="23">
        <v>0.44352471828460688</v>
      </c>
    </row>
    <row r="121" spans="1:8">
      <c r="A121" s="18">
        <v>20</v>
      </c>
      <c r="B121" s="18" t="s">
        <v>237</v>
      </c>
      <c r="C121" s="24" t="s">
        <v>128</v>
      </c>
      <c r="D121" s="25">
        <v>0.59191721677780151</v>
      </c>
      <c r="E121" s="23">
        <v>0.5137711763381958</v>
      </c>
      <c r="F121" s="23">
        <v>0.50452184677124023</v>
      </c>
      <c r="G121" s="23">
        <v>0.59191721677780151</v>
      </c>
      <c r="H121" s="23">
        <v>0.44229024648666382</v>
      </c>
    </row>
    <row r="122" spans="1:8">
      <c r="A122" s="18">
        <v>20</v>
      </c>
      <c r="B122" s="18" t="s">
        <v>238</v>
      </c>
      <c r="C122" s="24" t="s">
        <v>128</v>
      </c>
      <c r="D122" s="25">
        <v>0.69836384057998657</v>
      </c>
      <c r="E122" s="23">
        <v>0.63235431909561157</v>
      </c>
      <c r="F122" s="23">
        <v>0.60018771886825562</v>
      </c>
      <c r="G122" s="23">
        <v>0.69836384057998657</v>
      </c>
      <c r="H122" s="23">
        <v>0.38440567255020142</v>
      </c>
    </row>
    <row r="123" spans="1:8">
      <c r="A123" s="18">
        <v>20</v>
      </c>
      <c r="B123" s="18" t="s">
        <v>239</v>
      </c>
      <c r="C123" s="24" t="s">
        <v>128</v>
      </c>
      <c r="D123" s="25">
        <v>0.62006264925003052</v>
      </c>
      <c r="E123" s="23">
        <v>0.49661558866500849</v>
      </c>
      <c r="F123" s="23">
        <v>0.60110676288604736</v>
      </c>
      <c r="G123" s="23">
        <v>0.62006264925003052</v>
      </c>
      <c r="H123" s="23">
        <v>0.40065786242485052</v>
      </c>
    </row>
    <row r="124" spans="1:8">
      <c r="A124" s="18">
        <v>20</v>
      </c>
      <c r="B124" s="18" t="s">
        <v>240</v>
      </c>
      <c r="C124" s="24" t="s">
        <v>128</v>
      </c>
      <c r="D124" s="25">
        <v>0.63461804389953613</v>
      </c>
      <c r="E124" s="23">
        <v>0.4787660539150238</v>
      </c>
      <c r="F124" s="23">
        <v>0.41286516189575201</v>
      </c>
      <c r="G124" s="23">
        <v>0.63461804389953613</v>
      </c>
      <c r="H124" s="23">
        <v>0.48343354463577271</v>
      </c>
    </row>
    <row r="125" spans="1:8">
      <c r="A125" s="18">
        <v>20</v>
      </c>
      <c r="B125" s="18" t="s">
        <v>241</v>
      </c>
      <c r="C125" s="24" t="s">
        <v>128</v>
      </c>
      <c r="D125" s="25">
        <v>0.55717384815216064</v>
      </c>
      <c r="E125" s="23">
        <v>0.40387645363807678</v>
      </c>
      <c r="F125" s="23">
        <v>0.3545459508895874</v>
      </c>
      <c r="G125" s="23">
        <v>0.55717384815216064</v>
      </c>
      <c r="H125" s="23">
        <v>0.49637466669082642</v>
      </c>
    </row>
    <row r="126" spans="1:8">
      <c r="A126" s="18">
        <v>20</v>
      </c>
      <c r="B126" s="18" t="s">
        <v>242</v>
      </c>
      <c r="C126" s="24" t="s">
        <v>128</v>
      </c>
      <c r="D126" s="25">
        <v>0.84035724401473999</v>
      </c>
      <c r="E126" s="23">
        <v>0.63983333110809326</v>
      </c>
      <c r="F126" s="23">
        <v>0.64787912368774414</v>
      </c>
      <c r="G126" s="23">
        <v>0.84035724401473999</v>
      </c>
      <c r="H126" s="23">
        <v>0.37010043859481812</v>
      </c>
    </row>
    <row r="127" spans="1:8">
      <c r="A127" s="18">
        <v>21</v>
      </c>
      <c r="B127" s="18" t="s">
        <v>243</v>
      </c>
      <c r="C127" s="24" t="s">
        <v>128</v>
      </c>
      <c r="D127" s="25">
        <v>0.418214350938797</v>
      </c>
      <c r="E127" s="23">
        <v>0.32598894834518433</v>
      </c>
      <c r="F127" s="23">
        <v>0.31978285312652588</v>
      </c>
      <c r="G127" s="23">
        <v>0.418214350938797</v>
      </c>
      <c r="H127" s="23">
        <v>0.28227901458740229</v>
      </c>
    </row>
    <row r="128" spans="1:8">
      <c r="A128" s="18">
        <v>21</v>
      </c>
      <c r="B128" s="18" t="s">
        <v>244</v>
      </c>
      <c r="C128" s="24" t="s">
        <v>128</v>
      </c>
      <c r="D128" s="25">
        <v>0.78531897068023682</v>
      </c>
      <c r="E128" s="23">
        <v>0.49067148566246033</v>
      </c>
      <c r="F128" s="23">
        <v>0.45031064748764038</v>
      </c>
      <c r="G128" s="23">
        <v>0.78531897068023682</v>
      </c>
      <c r="H128" s="23">
        <v>0.60766744613647461</v>
      </c>
    </row>
    <row r="129" spans="1:8">
      <c r="A129" s="18">
        <v>22</v>
      </c>
      <c r="B129" s="18" t="s">
        <v>245</v>
      </c>
      <c r="C129" s="24" t="s">
        <v>128</v>
      </c>
      <c r="D129" s="25">
        <v>0.55102145671844482</v>
      </c>
      <c r="E129" s="23">
        <v>0.54471904039382935</v>
      </c>
      <c r="F129" s="23">
        <v>0.41074836254119867</v>
      </c>
      <c r="G129" s="23">
        <v>0.55102145671844482</v>
      </c>
      <c r="H129" s="23">
        <v>0.41455551981925959</v>
      </c>
    </row>
    <row r="130" spans="1:8">
      <c r="A130" s="18">
        <v>22</v>
      </c>
      <c r="B130" s="18" t="s">
        <v>246</v>
      </c>
      <c r="C130" s="24" t="s">
        <v>128</v>
      </c>
      <c r="D130" s="25">
        <v>0.60280263423919678</v>
      </c>
      <c r="E130" s="23">
        <v>0.48833981156349182</v>
      </c>
      <c r="F130" s="23">
        <v>0.47652599215507507</v>
      </c>
      <c r="G130" s="23">
        <v>0.60280263423919678</v>
      </c>
      <c r="H130" s="23">
        <v>0.42775720357894897</v>
      </c>
    </row>
    <row r="131" spans="1:8">
      <c r="A131" s="18">
        <v>22</v>
      </c>
      <c r="B131" s="18" t="s">
        <v>247</v>
      </c>
      <c r="C131" s="24" t="s">
        <v>128</v>
      </c>
      <c r="D131" s="25">
        <v>0.95480060577392578</v>
      </c>
      <c r="E131" s="23">
        <v>0.55243498086929321</v>
      </c>
      <c r="F131" s="23">
        <v>0.61980652809143066</v>
      </c>
      <c r="G131" s="23">
        <v>0.95480060577392578</v>
      </c>
      <c r="H131" s="23">
        <v>0.53122365474700928</v>
      </c>
    </row>
    <row r="132" spans="1:8">
      <c r="A132" s="18">
        <v>23</v>
      </c>
      <c r="B132" s="18" t="s">
        <v>248</v>
      </c>
      <c r="C132" s="24" t="s">
        <v>128</v>
      </c>
      <c r="D132" s="25">
        <v>0.74445074796676636</v>
      </c>
      <c r="E132" s="23">
        <v>0.72270667552947998</v>
      </c>
      <c r="F132" s="23">
        <v>0.57482492923736572</v>
      </c>
      <c r="G132" s="23">
        <v>0.74445074796676636</v>
      </c>
      <c r="H132" s="23">
        <v>0.48745030164718628</v>
      </c>
    </row>
    <row r="133" spans="1:8">
      <c r="A133" s="18">
        <v>23</v>
      </c>
      <c r="B133" s="18" t="s">
        <v>249</v>
      </c>
      <c r="C133" s="24" t="s">
        <v>128</v>
      </c>
      <c r="D133" s="25">
        <v>0.81144315004348755</v>
      </c>
      <c r="E133" s="23">
        <v>0.60275077819824219</v>
      </c>
      <c r="F133" s="23">
        <v>0.60489082336425781</v>
      </c>
      <c r="G133" s="23">
        <v>0.81144315004348755</v>
      </c>
      <c r="H133" s="23">
        <v>0.40779966115951538</v>
      </c>
    </row>
    <row r="134" spans="1:8">
      <c r="A134" s="18">
        <v>23</v>
      </c>
      <c r="B134" s="18" t="s">
        <v>250</v>
      </c>
      <c r="C134" s="24" t="s">
        <v>128</v>
      </c>
      <c r="D134" s="25">
        <v>0.71986502408981323</v>
      </c>
      <c r="E134" s="23">
        <v>0.52261519432067871</v>
      </c>
      <c r="F134" s="23">
        <v>0.6795661449432373</v>
      </c>
      <c r="G134" s="23">
        <v>0.71986502408981323</v>
      </c>
      <c r="H134" s="23">
        <v>0.3566555380821228</v>
      </c>
    </row>
    <row r="135" spans="1:8">
      <c r="A135" s="18">
        <v>23</v>
      </c>
      <c r="B135" s="18" t="s">
        <v>251</v>
      </c>
      <c r="C135" s="24" t="s">
        <v>128</v>
      </c>
      <c r="D135" s="25">
        <v>0.72698676586151123</v>
      </c>
      <c r="E135" s="23">
        <v>0.62545394897460938</v>
      </c>
      <c r="F135" s="23">
        <v>0.62505006790161133</v>
      </c>
      <c r="G135" s="23">
        <v>0.72698676586151123</v>
      </c>
      <c r="H135" s="23">
        <v>0.42975214123725891</v>
      </c>
    </row>
    <row r="136" spans="1:8">
      <c r="A136" s="18">
        <v>23</v>
      </c>
      <c r="B136" s="18" t="s">
        <v>252</v>
      </c>
      <c r="C136" s="24" t="s">
        <v>128</v>
      </c>
      <c r="D136" s="25">
        <v>0.86504542827606201</v>
      </c>
      <c r="E136" s="23">
        <v>0.68119680881500244</v>
      </c>
      <c r="F136" s="23">
        <v>0.77377939224243164</v>
      </c>
      <c r="G136" s="23">
        <v>0.86504542827606201</v>
      </c>
      <c r="H136" s="23">
        <v>0.55464410781860352</v>
      </c>
    </row>
    <row r="137" spans="1:8">
      <c r="A137" s="18">
        <v>24</v>
      </c>
      <c r="B137" s="18" t="s">
        <v>253</v>
      </c>
      <c r="C137" s="24" t="s">
        <v>128</v>
      </c>
      <c r="D137" s="25">
        <v>0.83382624387741089</v>
      </c>
      <c r="E137" s="23">
        <v>0.62148475646972656</v>
      </c>
      <c r="F137" s="23">
        <v>0.72128832340240479</v>
      </c>
      <c r="G137" s="23">
        <v>0.83382624387741089</v>
      </c>
      <c r="H137" s="23">
        <v>0.46478506922721857</v>
      </c>
    </row>
    <row r="138" spans="1:8">
      <c r="A138" s="18">
        <v>25</v>
      </c>
      <c r="B138" s="18" t="s">
        <v>254</v>
      </c>
      <c r="C138" s="24" t="s">
        <v>128</v>
      </c>
      <c r="D138" s="25">
        <v>0.83710634708404541</v>
      </c>
      <c r="E138" s="23">
        <v>0.5135490894317627</v>
      </c>
      <c r="F138" s="23">
        <v>0.5196073055267334</v>
      </c>
      <c r="G138" s="23">
        <v>0.83710634708404541</v>
      </c>
      <c r="H138" s="23">
        <v>0.48049801588058472</v>
      </c>
    </row>
    <row r="139" spans="1:8">
      <c r="A139" s="18">
        <v>25</v>
      </c>
      <c r="B139" s="18" t="s">
        <v>255</v>
      </c>
      <c r="C139" s="24" t="s">
        <v>128</v>
      </c>
      <c r="D139" s="25">
        <v>0.88381361961364746</v>
      </c>
      <c r="E139" s="23">
        <v>0.62372839450836182</v>
      </c>
      <c r="F139" s="23">
        <v>0.66749835014343262</v>
      </c>
      <c r="G139" s="23">
        <v>0.88381361961364746</v>
      </c>
      <c r="H139" s="23">
        <v>0.46076053380966192</v>
      </c>
    </row>
    <row r="140" spans="1:8">
      <c r="A140" s="18">
        <v>25</v>
      </c>
      <c r="B140" s="18" t="s">
        <v>253</v>
      </c>
      <c r="C140" s="24" t="s">
        <v>128</v>
      </c>
      <c r="D140" s="25">
        <v>0.83382624387741089</v>
      </c>
      <c r="E140" s="23">
        <v>0.62148475646972656</v>
      </c>
      <c r="F140" s="23">
        <v>0.72128832340240479</v>
      </c>
      <c r="G140" s="23">
        <v>0.83382624387741089</v>
      </c>
      <c r="H140" s="23">
        <v>0.46478506922721857</v>
      </c>
    </row>
    <row r="141" spans="1:8">
      <c r="A141" s="18">
        <v>26</v>
      </c>
      <c r="B141" s="18" t="s">
        <v>256</v>
      </c>
      <c r="C141" s="24" t="s">
        <v>128</v>
      </c>
      <c r="D141" s="25">
        <v>0.59579741954803467</v>
      </c>
      <c r="E141" s="23">
        <v>0.39578256011009222</v>
      </c>
      <c r="F141" s="23">
        <v>0.43783438205718989</v>
      </c>
      <c r="G141" s="23">
        <v>0.59579741954803467</v>
      </c>
      <c r="H141" s="23">
        <v>0.39174699783325201</v>
      </c>
    </row>
    <row r="142" spans="1:8">
      <c r="A142" s="18">
        <v>26</v>
      </c>
      <c r="B142" s="18" t="s">
        <v>257</v>
      </c>
      <c r="C142" s="24" t="s">
        <v>128</v>
      </c>
      <c r="D142" s="25">
        <v>0.62313425540924072</v>
      </c>
      <c r="E142" s="23">
        <v>0.46000424027442932</v>
      </c>
      <c r="F142" s="23">
        <v>0.42319831252098078</v>
      </c>
      <c r="G142" s="23">
        <v>0.62313425540924072</v>
      </c>
      <c r="H142" s="23">
        <v>0.39593654870986938</v>
      </c>
    </row>
    <row r="143" spans="1:8">
      <c r="A143" s="18">
        <v>26</v>
      </c>
      <c r="B143" s="18" t="s">
        <v>53</v>
      </c>
      <c r="C143" s="24" t="s">
        <v>128</v>
      </c>
      <c r="D143" s="25">
        <v>1</v>
      </c>
      <c r="E143" s="23">
        <v>0.61158883571624756</v>
      </c>
      <c r="F143" s="23">
        <v>0.54773461818695068</v>
      </c>
      <c r="G143" s="23">
        <v>1</v>
      </c>
      <c r="H143" s="23">
        <v>0.68410336971282959</v>
      </c>
    </row>
    <row r="144" spans="1:8">
      <c r="A144" s="18">
        <v>27</v>
      </c>
      <c r="B144" s="18" t="s">
        <v>258</v>
      </c>
      <c r="C144" s="24" t="s">
        <v>128</v>
      </c>
      <c r="D144" s="25">
        <v>0.40985479950904852</v>
      </c>
      <c r="E144" s="23">
        <v>0.32562536001205439</v>
      </c>
      <c r="F144" s="23">
        <v>0.29242682456970209</v>
      </c>
      <c r="G144" s="23">
        <v>0.40985479950904852</v>
      </c>
      <c r="H144" s="23">
        <v>0.40035337209701538</v>
      </c>
    </row>
    <row r="145" spans="1:8">
      <c r="A145" s="18">
        <v>27</v>
      </c>
      <c r="B145" s="18" t="s">
        <v>203</v>
      </c>
      <c r="C145" s="24" t="s">
        <v>128</v>
      </c>
      <c r="D145" s="25">
        <v>0.87238198518753052</v>
      </c>
      <c r="E145" s="23">
        <v>0.34671944379806519</v>
      </c>
      <c r="F145" s="23">
        <v>0.43438100814819341</v>
      </c>
      <c r="G145" s="23">
        <v>0.87238198518753052</v>
      </c>
      <c r="H145" s="23">
        <v>0.49229341745376592</v>
      </c>
    </row>
    <row r="146" spans="1:8">
      <c r="A146" s="18">
        <v>27</v>
      </c>
      <c r="B146" s="18" t="s">
        <v>259</v>
      </c>
      <c r="C146" s="24" t="s">
        <v>128</v>
      </c>
      <c r="D146" s="25">
        <v>0.67980074882507324</v>
      </c>
      <c r="E146" s="23">
        <v>0.5286639928817749</v>
      </c>
      <c r="F146" s="23">
        <v>0.64878499507904053</v>
      </c>
      <c r="G146" s="23">
        <v>0.67980074882507324</v>
      </c>
      <c r="H146" s="23">
        <v>0.44515413045883179</v>
      </c>
    </row>
    <row r="147" spans="1:8">
      <c r="A147" s="18">
        <v>28</v>
      </c>
      <c r="B147" s="18" t="s">
        <v>260</v>
      </c>
      <c r="C147" s="24" t="s">
        <v>128</v>
      </c>
      <c r="D147" s="25">
        <v>0.75898420810699463</v>
      </c>
      <c r="E147" s="23">
        <v>0.58042025566101074</v>
      </c>
      <c r="F147" s="23">
        <v>0.42421472072601318</v>
      </c>
      <c r="G147" s="23">
        <v>0.75898420810699463</v>
      </c>
      <c r="H147" s="23">
        <v>0.46845057606697083</v>
      </c>
    </row>
    <row r="148" spans="1:8">
      <c r="A148" s="18">
        <v>28</v>
      </c>
      <c r="B148" s="18" t="s">
        <v>261</v>
      </c>
      <c r="C148" s="24" t="s">
        <v>128</v>
      </c>
      <c r="D148" s="25">
        <v>0.71995282173156738</v>
      </c>
      <c r="E148" s="23">
        <v>0.50656640529632568</v>
      </c>
      <c r="F148" s="23">
        <v>0.55533671379089355</v>
      </c>
      <c r="G148" s="23">
        <v>0.71995282173156738</v>
      </c>
      <c r="H148" s="23">
        <v>0.66070657968521118</v>
      </c>
    </row>
    <row r="149" spans="1:8">
      <c r="A149" s="18">
        <v>28</v>
      </c>
      <c r="B149" s="18" t="s">
        <v>262</v>
      </c>
      <c r="C149" s="24" t="s">
        <v>128</v>
      </c>
      <c r="D149" s="25">
        <v>0.69090402126312256</v>
      </c>
      <c r="E149" s="23">
        <v>0.42720836400985718</v>
      </c>
      <c r="F149" s="23">
        <v>0.55703020095825195</v>
      </c>
      <c r="G149" s="23">
        <v>0.69090402126312256</v>
      </c>
      <c r="H149" s="23">
        <v>0.6551971435546875</v>
      </c>
    </row>
    <row r="150" spans="1:8">
      <c r="A150" s="18">
        <v>28</v>
      </c>
      <c r="B150" s="18" t="s">
        <v>263</v>
      </c>
      <c r="C150" s="24" t="s">
        <v>128</v>
      </c>
      <c r="D150" s="25">
        <v>0.85362887382507324</v>
      </c>
      <c r="E150" s="23">
        <v>0.61332434415817261</v>
      </c>
      <c r="F150" s="23">
        <v>0.47765564918518072</v>
      </c>
      <c r="G150" s="23">
        <v>0.85362887382507324</v>
      </c>
      <c r="H150" s="23">
        <v>0.67575901746749878</v>
      </c>
    </row>
    <row r="151" spans="1:8">
      <c r="A151" s="18">
        <v>28</v>
      </c>
      <c r="B151" s="18" t="s">
        <v>190</v>
      </c>
      <c r="C151" s="24" t="s">
        <v>128</v>
      </c>
      <c r="D151" s="25">
        <v>0.91089379787445068</v>
      </c>
      <c r="E151" s="23">
        <v>0.6040416955947876</v>
      </c>
      <c r="F151" s="23">
        <v>0.50312161445617676</v>
      </c>
      <c r="G151" s="23">
        <v>0.91089379787445068</v>
      </c>
      <c r="H151" s="23">
        <v>0.63145393133163452</v>
      </c>
    </row>
    <row r="152" spans="1:8">
      <c r="A152" s="18">
        <v>28</v>
      </c>
      <c r="B152" s="18" t="s">
        <v>264</v>
      </c>
      <c r="C152" s="24" t="s">
        <v>128</v>
      </c>
      <c r="D152" s="25">
        <v>0.49920946359634399</v>
      </c>
      <c r="E152" s="23">
        <v>0.44918352365493769</v>
      </c>
      <c r="F152" s="23">
        <v>0.35173684358596802</v>
      </c>
      <c r="G152" s="23">
        <v>0.49920946359634399</v>
      </c>
      <c r="H152" s="23">
        <v>0.41370487213134771</v>
      </c>
    </row>
    <row r="153" spans="1:8">
      <c r="A153" s="18">
        <v>29</v>
      </c>
      <c r="B153" s="18" t="s">
        <v>265</v>
      </c>
      <c r="C153" s="24" t="s">
        <v>128</v>
      </c>
      <c r="D153" s="25">
        <v>0.58597123622894287</v>
      </c>
      <c r="E153" s="23">
        <v>0.56140422821044922</v>
      </c>
      <c r="F153" s="23">
        <v>0.54699480533599854</v>
      </c>
      <c r="G153" s="23">
        <v>0.58597123622894287</v>
      </c>
      <c r="H153" s="23">
        <v>0.52453780174255371</v>
      </c>
    </row>
    <row r="154" spans="1:8">
      <c r="A154" s="18">
        <v>30</v>
      </c>
      <c r="B154" s="18" t="s">
        <v>266</v>
      </c>
      <c r="C154" s="24" t="s">
        <v>128</v>
      </c>
      <c r="D154" s="25">
        <v>0.69553118944168091</v>
      </c>
      <c r="E154" s="23">
        <v>0.64592909812927246</v>
      </c>
      <c r="F154" s="23">
        <v>0.63779616355895996</v>
      </c>
      <c r="G154" s="23">
        <v>0.69553118944168091</v>
      </c>
      <c r="H154" s="23">
        <v>0.46164673566818237</v>
      </c>
    </row>
    <row r="155" spans="1:8">
      <c r="A155" s="18">
        <v>30</v>
      </c>
      <c r="B155" s="18" t="s">
        <v>267</v>
      </c>
      <c r="C155" s="24" t="s">
        <v>128</v>
      </c>
      <c r="D155" s="25">
        <v>0.76915770769119263</v>
      </c>
      <c r="E155" s="23">
        <v>0.73089712858200073</v>
      </c>
      <c r="F155" s="23">
        <v>0.67506474256515503</v>
      </c>
      <c r="G155" s="23">
        <v>0.76915770769119263</v>
      </c>
      <c r="H155" s="23">
        <v>0.38996386528015142</v>
      </c>
    </row>
    <row r="156" spans="1:8">
      <c r="A156" s="18">
        <v>30</v>
      </c>
      <c r="B156" s="18" t="s">
        <v>268</v>
      </c>
      <c r="C156" s="24" t="s">
        <v>128</v>
      </c>
      <c r="D156" s="25">
        <v>0.64409756660461426</v>
      </c>
      <c r="E156" s="23">
        <v>0.56663429737091064</v>
      </c>
      <c r="F156" s="23">
        <v>0.60037469863891602</v>
      </c>
      <c r="G156" s="23">
        <v>0.64409756660461426</v>
      </c>
      <c r="H156" s="23">
        <v>0.63438248634338379</v>
      </c>
    </row>
    <row r="157" spans="1:8">
      <c r="A157" s="18">
        <v>31</v>
      </c>
      <c r="B157" s="18" t="s">
        <v>269</v>
      </c>
      <c r="C157" s="24" t="s">
        <v>128</v>
      </c>
      <c r="D157" s="25">
        <v>0.55121612548828125</v>
      </c>
      <c r="E157" s="23">
        <v>0.49993881583213812</v>
      </c>
      <c r="F157" s="23">
        <v>0.3648262619972229</v>
      </c>
      <c r="G157" s="23">
        <v>0.55121612548828125</v>
      </c>
      <c r="H157" s="23">
        <v>0.44629594683647161</v>
      </c>
    </row>
    <row r="158" spans="1:8">
      <c r="A158" s="18">
        <v>31</v>
      </c>
      <c r="B158" s="18" t="s">
        <v>270</v>
      </c>
      <c r="C158" s="24" t="s">
        <v>128</v>
      </c>
      <c r="D158" s="25">
        <v>0.66846442222595215</v>
      </c>
      <c r="E158" s="23">
        <v>0.51549261808395386</v>
      </c>
      <c r="F158" s="23">
        <v>0.63417530059814453</v>
      </c>
      <c r="G158" s="23">
        <v>0.66846442222595215</v>
      </c>
      <c r="H158" s="23">
        <v>0.36469274759292603</v>
      </c>
    </row>
    <row r="159" spans="1:8">
      <c r="A159" s="18">
        <v>31</v>
      </c>
      <c r="B159" s="18" t="s">
        <v>271</v>
      </c>
      <c r="C159" s="24" t="s">
        <v>128</v>
      </c>
      <c r="D159" s="25">
        <v>0.64307105541229248</v>
      </c>
      <c r="E159" s="23">
        <v>0.55236899852752686</v>
      </c>
      <c r="F159" s="23">
        <v>0.6323201060295105</v>
      </c>
      <c r="G159" s="23">
        <v>0.64307105541229248</v>
      </c>
      <c r="H159" s="23">
        <v>0.47132456302642822</v>
      </c>
    </row>
    <row r="160" spans="1:8">
      <c r="A160" s="18">
        <v>31</v>
      </c>
      <c r="B160" s="18" t="s">
        <v>272</v>
      </c>
      <c r="C160" s="24" t="s">
        <v>128</v>
      </c>
      <c r="D160" s="25">
        <v>0.80890083312988281</v>
      </c>
      <c r="E160" s="23">
        <v>0.57951962947845459</v>
      </c>
      <c r="F160" s="23">
        <v>0.48649650812149048</v>
      </c>
      <c r="G160" s="23">
        <v>0.80890083312988281</v>
      </c>
      <c r="H160" s="23">
        <v>0.53166544437408447</v>
      </c>
    </row>
    <row r="161" spans="1:8">
      <c r="A161" s="18">
        <v>32</v>
      </c>
      <c r="B161" s="18" t="s">
        <v>273</v>
      </c>
      <c r="C161" s="24" t="s">
        <v>128</v>
      </c>
      <c r="D161" s="25">
        <v>0.79150223731994629</v>
      </c>
      <c r="E161" s="23">
        <v>0.73113733530044556</v>
      </c>
      <c r="F161" s="23">
        <v>0.73276901245117188</v>
      </c>
      <c r="G161" s="23">
        <v>0.79150223731994629</v>
      </c>
      <c r="H161" s="23">
        <v>0.39020764827728271</v>
      </c>
    </row>
    <row r="162" spans="1:8">
      <c r="A162" s="18">
        <v>32</v>
      </c>
      <c r="B162" s="18" t="s">
        <v>274</v>
      </c>
      <c r="C162" s="24" t="s">
        <v>128</v>
      </c>
      <c r="D162" s="25">
        <v>0.74904477596282959</v>
      </c>
      <c r="E162" s="23">
        <v>0.58566635847091675</v>
      </c>
      <c r="F162" s="23">
        <v>0.53338336944580078</v>
      </c>
      <c r="G162" s="23">
        <v>0.74904477596282959</v>
      </c>
      <c r="H162" s="23">
        <v>0.54938745498657227</v>
      </c>
    </row>
    <row r="163" spans="1:8">
      <c r="A163" s="18">
        <v>32</v>
      </c>
      <c r="B163" s="18" t="s">
        <v>275</v>
      </c>
      <c r="C163" s="24" t="s">
        <v>128</v>
      </c>
      <c r="D163" s="25">
        <v>0.79652076959609985</v>
      </c>
      <c r="E163" s="23">
        <v>0.6425633430480957</v>
      </c>
      <c r="F163" s="23">
        <v>0.74247723817825317</v>
      </c>
      <c r="G163" s="23">
        <v>0.79652076959609985</v>
      </c>
      <c r="H163" s="23">
        <v>0.40549826622009277</v>
      </c>
    </row>
    <row r="164" spans="1:8">
      <c r="A164" s="18">
        <v>32</v>
      </c>
      <c r="B164" s="18" t="s">
        <v>276</v>
      </c>
      <c r="C164" s="24" t="s">
        <v>128</v>
      </c>
      <c r="D164" s="25">
        <v>0.72778069972991943</v>
      </c>
      <c r="E164" s="23">
        <v>0.59254992008209229</v>
      </c>
      <c r="F164" s="23">
        <v>0.58338809013366699</v>
      </c>
      <c r="G164" s="23">
        <v>0.72778069972991943</v>
      </c>
      <c r="H164" s="23">
        <v>0.70964866876602173</v>
      </c>
    </row>
    <row r="165" spans="1:8">
      <c r="A165" s="18">
        <v>32</v>
      </c>
      <c r="B165" s="18" t="s">
        <v>191</v>
      </c>
      <c r="C165" s="24" t="s">
        <v>128</v>
      </c>
      <c r="D165" s="25">
        <v>0.74018430709838867</v>
      </c>
      <c r="E165" s="23">
        <v>0.56896466016769409</v>
      </c>
      <c r="F165" s="23">
        <v>0.45426633954048162</v>
      </c>
      <c r="G165" s="23">
        <v>0.74018430709838867</v>
      </c>
      <c r="H165" s="23">
        <v>0.51067054271697998</v>
      </c>
    </row>
    <row r="166" spans="1:8">
      <c r="A166" s="18">
        <v>32</v>
      </c>
      <c r="B166" s="18" t="s">
        <v>277</v>
      </c>
      <c r="C166" s="24" t="s">
        <v>128</v>
      </c>
      <c r="D166" s="25">
        <v>0.75593113899230957</v>
      </c>
      <c r="E166" s="23">
        <v>0.66499578952789307</v>
      </c>
      <c r="F166" s="23">
        <v>0.67407411336898804</v>
      </c>
      <c r="G166" s="23">
        <v>0.75593113899230957</v>
      </c>
      <c r="H166" s="23">
        <v>0.53721743822097778</v>
      </c>
    </row>
    <row r="167" spans="1:8">
      <c r="A167" s="18">
        <v>32</v>
      </c>
      <c r="B167" s="18" t="s">
        <v>278</v>
      </c>
      <c r="C167" s="24" t="s">
        <v>128</v>
      </c>
      <c r="D167" s="25">
        <v>0.61228096485137939</v>
      </c>
      <c r="E167" s="23">
        <v>0.41785198450088501</v>
      </c>
      <c r="F167" s="23">
        <v>0.38515827059745789</v>
      </c>
      <c r="G167" s="23">
        <v>0.61228096485137939</v>
      </c>
      <c r="H167" s="23">
        <v>0.41712075471878052</v>
      </c>
    </row>
    <row r="168" spans="1:8">
      <c r="A168" s="18">
        <v>32</v>
      </c>
      <c r="B168" s="18" t="s">
        <v>279</v>
      </c>
      <c r="C168" s="24" t="s">
        <v>128</v>
      </c>
      <c r="D168" s="25">
        <v>0.60273468494415283</v>
      </c>
      <c r="E168" s="23">
        <v>0.59992283582687378</v>
      </c>
      <c r="F168" s="23">
        <v>0.51999807357788086</v>
      </c>
      <c r="G168" s="23">
        <v>0.60273468494415283</v>
      </c>
      <c r="H168" s="23">
        <v>0.57897341251373291</v>
      </c>
    </row>
    <row r="169" spans="1:8">
      <c r="A169" s="18">
        <v>32</v>
      </c>
      <c r="B169" s="18" t="s">
        <v>280</v>
      </c>
      <c r="C169" s="24" t="s">
        <v>128</v>
      </c>
      <c r="D169" s="25">
        <v>0.53880220651626587</v>
      </c>
      <c r="E169" s="23">
        <v>0.46283304691314697</v>
      </c>
      <c r="F169" s="23">
        <v>0.48045319318771362</v>
      </c>
      <c r="G169" s="23">
        <v>0.53880220651626587</v>
      </c>
      <c r="H169" s="23">
        <v>0.52799093723297119</v>
      </c>
    </row>
    <row r="170" spans="1:8">
      <c r="A170" s="18">
        <v>32</v>
      </c>
      <c r="B170" s="18" t="s">
        <v>281</v>
      </c>
      <c r="C170" s="24" t="s">
        <v>128</v>
      </c>
      <c r="D170" s="25">
        <v>0.47983705997467041</v>
      </c>
      <c r="E170" s="23">
        <v>0.44326120615005488</v>
      </c>
      <c r="F170" s="23">
        <v>0.41295367479324341</v>
      </c>
      <c r="G170" s="23">
        <v>0.47983705997467041</v>
      </c>
      <c r="H170" s="23">
        <v>0.375276118516922</v>
      </c>
    </row>
    <row r="171" spans="1:8">
      <c r="A171" s="18">
        <v>33</v>
      </c>
      <c r="B171" s="18" t="s">
        <v>231</v>
      </c>
      <c r="C171" s="24" t="s">
        <v>128</v>
      </c>
      <c r="D171" s="25">
        <v>0.73786795139312744</v>
      </c>
      <c r="E171" s="23">
        <v>0.72345340251922607</v>
      </c>
      <c r="F171" s="23">
        <v>0.64562630653381348</v>
      </c>
      <c r="G171" s="23">
        <v>0.73786795139312744</v>
      </c>
      <c r="H171" s="23">
        <v>0.38753193616867071</v>
      </c>
    </row>
    <row r="172" spans="1:8">
      <c r="A172" s="18">
        <v>33</v>
      </c>
      <c r="B172" s="18" t="s">
        <v>232</v>
      </c>
      <c r="C172" s="24" t="s">
        <v>128</v>
      </c>
      <c r="D172" s="25">
        <v>0.63378196954727173</v>
      </c>
      <c r="E172" s="23">
        <v>0.59595692157745361</v>
      </c>
      <c r="F172" s="23">
        <v>0.53928780555725098</v>
      </c>
      <c r="G172" s="23">
        <v>0.63378196954727173</v>
      </c>
      <c r="H172" s="23">
        <v>0.52064657211303711</v>
      </c>
    </row>
    <row r="173" spans="1:8">
      <c r="A173" s="18">
        <v>33</v>
      </c>
      <c r="B173" s="18" t="s">
        <v>282</v>
      </c>
      <c r="C173" s="24" t="s">
        <v>128</v>
      </c>
      <c r="D173" s="25">
        <v>0.52518981695175171</v>
      </c>
      <c r="E173" s="23">
        <v>0.47376912832260132</v>
      </c>
      <c r="F173" s="23">
        <v>0.36829835176467901</v>
      </c>
      <c r="G173" s="23">
        <v>0.52518981695175171</v>
      </c>
      <c r="H173" s="23">
        <v>0.2693668007850647</v>
      </c>
    </row>
    <row r="174" spans="1:8">
      <c r="A174" s="18">
        <v>33</v>
      </c>
      <c r="B174" s="18" t="s">
        <v>283</v>
      </c>
      <c r="C174" s="24" t="s">
        <v>128</v>
      </c>
      <c r="D174" s="25">
        <v>0.5034564733505249</v>
      </c>
      <c r="E174" s="23">
        <v>0.49295133352279658</v>
      </c>
      <c r="F174" s="23">
        <v>0.42319279909133911</v>
      </c>
      <c r="G174" s="23">
        <v>0.5034564733505249</v>
      </c>
      <c r="H174" s="23">
        <v>0.38438811898231512</v>
      </c>
    </row>
    <row r="175" spans="1:8">
      <c r="A175" s="18">
        <v>33</v>
      </c>
      <c r="B175" s="18" t="s">
        <v>235</v>
      </c>
      <c r="C175" s="24" t="s">
        <v>128</v>
      </c>
      <c r="D175" s="25">
        <v>0.59747588634490967</v>
      </c>
      <c r="E175" s="23">
        <v>0.55217623710632324</v>
      </c>
      <c r="F175" s="23">
        <v>0.57371729612350464</v>
      </c>
      <c r="G175" s="23">
        <v>0.59747588634490967</v>
      </c>
      <c r="H175" s="23">
        <v>0.40328502655029302</v>
      </c>
    </row>
    <row r="176" spans="1:8">
      <c r="A176" s="18">
        <v>33</v>
      </c>
      <c r="B176" s="18" t="s">
        <v>284</v>
      </c>
      <c r="C176" s="24" t="s">
        <v>128</v>
      </c>
      <c r="D176" s="25">
        <v>0.76189631223678589</v>
      </c>
      <c r="E176" s="23">
        <v>0.55373406410217285</v>
      </c>
      <c r="F176" s="23">
        <v>0.5248265266418457</v>
      </c>
      <c r="G176" s="23">
        <v>0.76189631223678589</v>
      </c>
      <c r="H176" s="23">
        <v>0.49889898300170898</v>
      </c>
    </row>
    <row r="177" spans="1:8">
      <c r="A177" s="18">
        <v>33</v>
      </c>
      <c r="B177" s="18" t="s">
        <v>237</v>
      </c>
      <c r="C177" s="24" t="s">
        <v>128</v>
      </c>
      <c r="D177" s="25">
        <v>0.59191721677780151</v>
      </c>
      <c r="E177" s="23">
        <v>0.5137711763381958</v>
      </c>
      <c r="F177" s="23">
        <v>0.50452184677124023</v>
      </c>
      <c r="G177" s="23">
        <v>0.59191721677780151</v>
      </c>
      <c r="H177" s="23">
        <v>0.44229024648666382</v>
      </c>
    </row>
    <row r="178" spans="1:8">
      <c r="A178" s="18">
        <v>33</v>
      </c>
      <c r="B178" s="18" t="s">
        <v>285</v>
      </c>
      <c r="C178" s="24" t="s">
        <v>128</v>
      </c>
      <c r="D178" s="25">
        <v>0.90353107452392578</v>
      </c>
      <c r="E178" s="23">
        <v>0.43936413526535029</v>
      </c>
      <c r="F178" s="23">
        <v>0.56479257345199585</v>
      </c>
      <c r="G178" s="23">
        <v>0.90353107452392578</v>
      </c>
      <c r="H178" s="23">
        <v>0.44370880722999573</v>
      </c>
    </row>
    <row r="179" spans="1:8">
      <c r="A179" s="18">
        <v>33</v>
      </c>
      <c r="B179" s="18" t="s">
        <v>238</v>
      </c>
      <c r="C179" s="24" t="s">
        <v>128</v>
      </c>
      <c r="D179" s="25">
        <v>0.69836384057998657</v>
      </c>
      <c r="E179" s="23">
        <v>0.63235431909561157</v>
      </c>
      <c r="F179" s="23">
        <v>0.60018771886825562</v>
      </c>
      <c r="G179" s="23">
        <v>0.69836384057998657</v>
      </c>
      <c r="H179" s="23">
        <v>0.38440567255020142</v>
      </c>
    </row>
    <row r="180" spans="1:8">
      <c r="A180" s="18">
        <v>33</v>
      </c>
      <c r="B180" s="18" t="s">
        <v>240</v>
      </c>
      <c r="C180" s="24" t="s">
        <v>128</v>
      </c>
      <c r="D180" s="25">
        <v>0.63461804389953613</v>
      </c>
      <c r="E180" s="23">
        <v>0.4787660539150238</v>
      </c>
      <c r="F180" s="23">
        <v>0.41286516189575201</v>
      </c>
      <c r="G180" s="23">
        <v>0.63461804389953613</v>
      </c>
      <c r="H180" s="23">
        <v>0.48343354463577271</v>
      </c>
    </row>
    <row r="181" spans="1:8">
      <c r="A181" s="18">
        <v>33</v>
      </c>
      <c r="B181" s="18" t="s">
        <v>241</v>
      </c>
      <c r="C181" s="24" t="s">
        <v>128</v>
      </c>
      <c r="D181" s="25">
        <v>0.55717384815216064</v>
      </c>
      <c r="E181" s="23">
        <v>0.40387645363807678</v>
      </c>
      <c r="F181" s="23">
        <v>0.3545459508895874</v>
      </c>
      <c r="G181" s="23">
        <v>0.55717384815216064</v>
      </c>
      <c r="H181" s="23">
        <v>0.49637466669082642</v>
      </c>
    </row>
    <row r="182" spans="1:8">
      <c r="A182" s="18">
        <v>34</v>
      </c>
      <c r="B182" s="18" t="s">
        <v>286</v>
      </c>
      <c r="C182" s="24" t="s">
        <v>128</v>
      </c>
      <c r="D182" s="25">
        <v>0.71934032440185547</v>
      </c>
      <c r="E182" s="23">
        <v>0.481545090675354</v>
      </c>
      <c r="F182" s="23">
        <v>0.35747149586677551</v>
      </c>
      <c r="G182" s="23">
        <v>0.71934032440185547</v>
      </c>
      <c r="H182" s="23">
        <v>0.5985342264175415</v>
      </c>
    </row>
    <row r="183" spans="1:8">
      <c r="A183" s="18">
        <v>34</v>
      </c>
      <c r="B183" s="18" t="s">
        <v>287</v>
      </c>
      <c r="C183" s="24" t="s">
        <v>128</v>
      </c>
      <c r="D183" s="25">
        <v>0.92183130979537964</v>
      </c>
      <c r="E183" s="23">
        <v>0.4699072539806366</v>
      </c>
      <c r="F183" s="23">
        <v>0.56358665227890015</v>
      </c>
      <c r="G183" s="23">
        <v>0.92183130979537964</v>
      </c>
      <c r="H183" s="23">
        <v>0.66129863262176514</v>
      </c>
    </row>
    <row r="184" spans="1:8">
      <c r="A184" s="18">
        <v>35</v>
      </c>
      <c r="B184" s="18" t="s">
        <v>288</v>
      </c>
      <c r="C184" s="24" t="s">
        <v>128</v>
      </c>
      <c r="D184" s="25">
        <v>0.63119632005691528</v>
      </c>
      <c r="E184" s="23">
        <v>0.40007823705673218</v>
      </c>
      <c r="F184" s="23">
        <v>0.46858552098274231</v>
      </c>
      <c r="G184" s="23">
        <v>0.63119632005691528</v>
      </c>
      <c r="H184" s="23">
        <v>0.48012062907218928</v>
      </c>
    </row>
    <row r="185" spans="1:8">
      <c r="A185" s="18">
        <v>35</v>
      </c>
      <c r="B185" s="18" t="s">
        <v>289</v>
      </c>
      <c r="C185" s="24" t="s">
        <v>128</v>
      </c>
      <c r="D185" s="25">
        <v>0.55054813623428345</v>
      </c>
      <c r="E185" s="23">
        <v>0.5099722146987915</v>
      </c>
      <c r="F185" s="23">
        <v>0.47512418031692499</v>
      </c>
      <c r="G185" s="23">
        <v>0.55054813623428345</v>
      </c>
      <c r="H185" s="23">
        <v>0.3776145875453949</v>
      </c>
    </row>
    <row r="186" spans="1:8">
      <c r="A186" s="18">
        <v>36</v>
      </c>
      <c r="B186" s="18" t="s">
        <v>290</v>
      </c>
      <c r="C186" s="24" t="s">
        <v>128</v>
      </c>
      <c r="D186" s="25">
        <v>0.45398488640785217</v>
      </c>
      <c r="E186" s="23">
        <v>0.45246070623397833</v>
      </c>
      <c r="F186" s="23">
        <v>0.3969539999961853</v>
      </c>
      <c r="G186" s="23">
        <v>0.45398488640785217</v>
      </c>
      <c r="H186" s="23">
        <v>0.41462066769599909</v>
      </c>
    </row>
    <row r="187" spans="1:8">
      <c r="A187" s="18">
        <v>36</v>
      </c>
      <c r="B187" s="18" t="s">
        <v>291</v>
      </c>
      <c r="C187" s="24" t="s">
        <v>128</v>
      </c>
      <c r="D187" s="25">
        <v>0.4926200807094574</v>
      </c>
      <c r="E187" s="23">
        <v>0.34911495447158808</v>
      </c>
      <c r="F187" s="23">
        <v>0.43902707099914551</v>
      </c>
      <c r="G187" s="23">
        <v>0.4926200807094574</v>
      </c>
      <c r="H187" s="23">
        <v>0.37656036019325262</v>
      </c>
    </row>
    <row r="188" spans="1:8">
      <c r="A188" s="18">
        <v>36</v>
      </c>
      <c r="B188" s="18" t="s">
        <v>292</v>
      </c>
      <c r="C188" s="24" t="s">
        <v>128</v>
      </c>
      <c r="D188" s="25">
        <v>0.46304503083229059</v>
      </c>
      <c r="E188" s="23">
        <v>0.41066926717758179</v>
      </c>
      <c r="F188" s="23">
        <v>0.37730458378791809</v>
      </c>
      <c r="G188" s="23">
        <v>0.46304503083229059</v>
      </c>
      <c r="H188" s="23">
        <v>0.34399330615997309</v>
      </c>
    </row>
    <row r="189" spans="1:8">
      <c r="A189" s="18">
        <v>37</v>
      </c>
      <c r="B189" s="18" t="s">
        <v>293</v>
      </c>
      <c r="C189" s="24" t="s">
        <v>128</v>
      </c>
      <c r="D189" s="25">
        <v>0.92299801111221313</v>
      </c>
      <c r="E189" s="23">
        <v>0.51606833934783936</v>
      </c>
      <c r="F189" s="23">
        <v>0.44482088088989258</v>
      </c>
      <c r="G189" s="23">
        <v>0.92299801111221313</v>
      </c>
      <c r="H189" s="23">
        <v>0.84835320711135864</v>
      </c>
    </row>
    <row r="190" spans="1:8">
      <c r="A190" s="18">
        <v>37</v>
      </c>
      <c r="B190" s="18" t="s">
        <v>294</v>
      </c>
      <c r="C190" s="24" t="s">
        <v>128</v>
      </c>
      <c r="D190" s="25">
        <v>0.47698161005973821</v>
      </c>
      <c r="E190" s="23">
        <v>0.41945865750312811</v>
      </c>
      <c r="F190" s="23">
        <v>0.36515051126480103</v>
      </c>
      <c r="G190" s="23">
        <v>0.47698161005973821</v>
      </c>
      <c r="H190" s="23">
        <v>0.40096369385719299</v>
      </c>
    </row>
    <row r="191" spans="1:8">
      <c r="A191" s="18">
        <v>37</v>
      </c>
      <c r="B191" s="18" t="s">
        <v>295</v>
      </c>
      <c r="C191" s="24" t="s">
        <v>128</v>
      </c>
      <c r="D191" s="25">
        <v>0.5993729829788208</v>
      </c>
      <c r="E191" s="23">
        <v>0.49229791760444641</v>
      </c>
      <c r="F191" s="23">
        <v>0.52589195966720581</v>
      </c>
      <c r="G191" s="23">
        <v>0.5993729829788208</v>
      </c>
      <c r="H191" s="23">
        <v>0.47902208566665649</v>
      </c>
    </row>
    <row r="192" spans="1:8">
      <c r="A192" s="18">
        <v>37</v>
      </c>
      <c r="B192" s="18" t="s">
        <v>296</v>
      </c>
      <c r="C192" s="24" t="s">
        <v>128</v>
      </c>
      <c r="D192" s="25">
        <v>0.61593514680862427</v>
      </c>
      <c r="E192" s="23">
        <v>0.49489805102348328</v>
      </c>
      <c r="F192" s="23">
        <v>0.57286930084228516</v>
      </c>
      <c r="G192" s="23">
        <v>0.61593514680862427</v>
      </c>
      <c r="H192" s="23">
        <v>0.37717247009277338</v>
      </c>
    </row>
    <row r="193" spans="1:8">
      <c r="A193" s="18">
        <v>37</v>
      </c>
      <c r="B193" s="18" t="s">
        <v>297</v>
      </c>
      <c r="C193" s="24" t="s">
        <v>128</v>
      </c>
      <c r="D193" s="25">
        <v>0.71461772918701172</v>
      </c>
      <c r="E193" s="23">
        <v>0.60238665342330933</v>
      </c>
      <c r="F193" s="23">
        <v>0.60172200202941895</v>
      </c>
      <c r="G193" s="23">
        <v>0.71461772918701172</v>
      </c>
      <c r="H193" s="23">
        <v>0.43768098950386047</v>
      </c>
    </row>
    <row r="194" spans="1:8">
      <c r="A194" s="18">
        <v>37</v>
      </c>
      <c r="B194" s="18" t="s">
        <v>298</v>
      </c>
      <c r="C194" s="24" t="s">
        <v>128</v>
      </c>
      <c r="D194" s="25">
        <v>0.5818522572517395</v>
      </c>
      <c r="E194" s="23">
        <v>0.50840085744857788</v>
      </c>
      <c r="F194" s="23">
        <v>0.45535793900489813</v>
      </c>
      <c r="G194" s="23">
        <v>0.5818522572517395</v>
      </c>
      <c r="H194" s="23">
        <v>0.33690375089645391</v>
      </c>
    </row>
    <row r="195" spans="1:8">
      <c r="A195" s="18">
        <v>37</v>
      </c>
      <c r="B195" s="18" t="s">
        <v>299</v>
      </c>
      <c r="C195" s="24" t="s">
        <v>128</v>
      </c>
      <c r="D195" s="25">
        <v>0.70562458038330078</v>
      </c>
      <c r="E195" s="23">
        <v>0.57958865165710449</v>
      </c>
      <c r="F195" s="23">
        <v>0.66400182247161865</v>
      </c>
      <c r="G195" s="23">
        <v>0.70562458038330078</v>
      </c>
      <c r="H195" s="23">
        <v>0.42413312196731567</v>
      </c>
    </row>
    <row r="196" spans="1:8">
      <c r="A196" s="18">
        <v>37</v>
      </c>
      <c r="B196" s="18" t="s">
        <v>300</v>
      </c>
      <c r="C196" s="24" t="s">
        <v>128</v>
      </c>
      <c r="D196" s="25">
        <v>0.73516130447387695</v>
      </c>
      <c r="E196" s="23">
        <v>0.53931063413619995</v>
      </c>
      <c r="F196" s="23">
        <v>0.59775149822235107</v>
      </c>
      <c r="G196" s="23">
        <v>0.73516130447387695</v>
      </c>
      <c r="H196" s="23">
        <v>0.3509756326675415</v>
      </c>
    </row>
    <row r="197" spans="1:8">
      <c r="A197" s="18">
        <v>37</v>
      </c>
      <c r="B197" s="18" t="s">
        <v>301</v>
      </c>
      <c r="C197" s="24" t="s">
        <v>128</v>
      </c>
      <c r="D197" s="25">
        <v>0.81689399480819702</v>
      </c>
      <c r="E197" s="23">
        <v>0.4947228729724884</v>
      </c>
      <c r="F197" s="23">
        <v>0.55659407377243042</v>
      </c>
      <c r="G197" s="23">
        <v>0.81689399480819702</v>
      </c>
      <c r="H197" s="23">
        <v>0.4939231276512146</v>
      </c>
    </row>
    <row r="198" spans="1:8">
      <c r="A198" s="18">
        <v>38</v>
      </c>
      <c r="B198" s="18" t="s">
        <v>302</v>
      </c>
      <c r="C198" s="24" t="s">
        <v>128</v>
      </c>
      <c r="D198" s="25">
        <v>0.80641627311706543</v>
      </c>
      <c r="E198" s="23">
        <v>0.67069250345230103</v>
      </c>
      <c r="F198" s="23">
        <v>0.7773284912109375</v>
      </c>
      <c r="G198" s="23">
        <v>0.80641627311706543</v>
      </c>
      <c r="H198" s="23">
        <v>0.41505292057991028</v>
      </c>
    </row>
    <row r="199" spans="1:8">
      <c r="A199" s="18">
        <v>38</v>
      </c>
      <c r="B199" s="18" t="s">
        <v>303</v>
      </c>
      <c r="C199" s="24" t="s">
        <v>128</v>
      </c>
      <c r="D199" s="25">
        <v>0.76743531227111816</v>
      </c>
      <c r="E199" s="23">
        <v>0.67294889688491821</v>
      </c>
      <c r="F199" s="23">
        <v>0.69513523578643799</v>
      </c>
      <c r="G199" s="23">
        <v>0.76743531227111816</v>
      </c>
      <c r="H199" s="23">
        <v>0.47764074802398682</v>
      </c>
    </row>
    <row r="200" spans="1:8">
      <c r="A200" s="18">
        <v>38</v>
      </c>
      <c r="B200" s="18" t="s">
        <v>304</v>
      </c>
      <c r="C200" s="24" t="s">
        <v>128</v>
      </c>
      <c r="D200" s="25">
        <v>0.53549236059188843</v>
      </c>
      <c r="E200" s="23">
        <v>0.4159683883190155</v>
      </c>
      <c r="F200" s="23">
        <v>0.4346083402633667</v>
      </c>
      <c r="G200" s="23">
        <v>0.53549236059188843</v>
      </c>
      <c r="H200" s="23">
        <v>0.46402198076248169</v>
      </c>
    </row>
    <row r="201" spans="1:8">
      <c r="A201" s="18">
        <v>39</v>
      </c>
      <c r="B201" s="18" t="s">
        <v>305</v>
      </c>
      <c r="C201" s="24" t="s">
        <v>128</v>
      </c>
      <c r="D201" s="25">
        <v>0.72324484586715698</v>
      </c>
      <c r="E201" s="23">
        <v>0.70994508266448975</v>
      </c>
      <c r="F201" s="23">
        <v>0.54615271091461182</v>
      </c>
      <c r="G201" s="23">
        <v>0.72324484586715698</v>
      </c>
      <c r="H201" s="23">
        <v>0.70983439683914185</v>
      </c>
    </row>
    <row r="202" spans="1:8">
      <c r="A202" s="18">
        <v>40</v>
      </c>
      <c r="B202" s="18" t="s">
        <v>306</v>
      </c>
      <c r="C202" s="24" t="s">
        <v>128</v>
      </c>
      <c r="D202" s="25">
        <v>0.74747693538665771</v>
      </c>
      <c r="E202" s="23">
        <v>0.56445515155792236</v>
      </c>
      <c r="F202" s="23">
        <v>0.4872908890247345</v>
      </c>
      <c r="G202" s="23">
        <v>0.74747693538665771</v>
      </c>
      <c r="H202" s="23">
        <v>0.60437047481536865</v>
      </c>
    </row>
    <row r="203" spans="1:8">
      <c r="A203" s="18">
        <v>40</v>
      </c>
      <c r="B203" s="18" t="s">
        <v>307</v>
      </c>
      <c r="C203" s="24" t="s">
        <v>128</v>
      </c>
      <c r="D203" s="25">
        <v>0.77195745706558228</v>
      </c>
      <c r="E203" s="23">
        <v>0.61666297912597656</v>
      </c>
      <c r="F203" s="23">
        <v>0.73215973377227783</v>
      </c>
      <c r="G203" s="23">
        <v>0.77195745706558228</v>
      </c>
      <c r="H203" s="23">
        <v>0.52064192295074463</v>
      </c>
    </row>
    <row r="204" spans="1:8">
      <c r="A204" s="18">
        <v>40</v>
      </c>
      <c r="B204" s="18" t="s">
        <v>308</v>
      </c>
      <c r="C204" s="24" t="s">
        <v>128</v>
      </c>
      <c r="D204" s="25">
        <v>0.79587090015411377</v>
      </c>
      <c r="E204" s="23">
        <v>0.63416498899459839</v>
      </c>
      <c r="F204" s="23">
        <v>0.7362055778503418</v>
      </c>
      <c r="G204" s="23">
        <v>0.79587090015411377</v>
      </c>
      <c r="H204" s="23">
        <v>0.48944079875946039</v>
      </c>
    </row>
    <row r="205" spans="1:8">
      <c r="A205" s="18">
        <v>40</v>
      </c>
      <c r="B205" s="18" t="s">
        <v>309</v>
      </c>
      <c r="C205" s="24" t="s">
        <v>128</v>
      </c>
      <c r="D205" s="25">
        <v>0.67967289686203003</v>
      </c>
      <c r="E205" s="23">
        <v>0.65727436542510986</v>
      </c>
      <c r="F205" s="23">
        <v>0.56882375478744507</v>
      </c>
      <c r="G205" s="23">
        <v>0.67967289686203003</v>
      </c>
      <c r="H205" s="23">
        <v>0.41670623421669012</v>
      </c>
    </row>
    <row r="206" spans="1:8">
      <c r="A206" s="18">
        <v>40</v>
      </c>
      <c r="B206" s="18" t="s">
        <v>310</v>
      </c>
      <c r="C206" s="24" t="s">
        <v>128</v>
      </c>
      <c r="D206" s="25">
        <v>0.68888038396835327</v>
      </c>
      <c r="E206" s="23">
        <v>0.61806923151016235</v>
      </c>
      <c r="F206" s="23">
        <v>0.63075709342956543</v>
      </c>
      <c r="G206" s="23">
        <v>0.68888038396835327</v>
      </c>
      <c r="H206" s="23">
        <v>0.53004419803619385</v>
      </c>
    </row>
    <row r="207" spans="1:8">
      <c r="A207" s="18">
        <v>40</v>
      </c>
      <c r="B207" s="18" t="s">
        <v>311</v>
      </c>
      <c r="C207" s="24" t="s">
        <v>128</v>
      </c>
      <c r="D207" s="25">
        <v>0.65258312225341797</v>
      </c>
      <c r="E207" s="23">
        <v>0.39536398649215698</v>
      </c>
      <c r="F207" s="23">
        <v>0.48921817541122442</v>
      </c>
      <c r="G207" s="23">
        <v>0.65258312225341797</v>
      </c>
      <c r="H207" s="23">
        <v>0.49362802505493159</v>
      </c>
    </row>
    <row r="208" spans="1:8">
      <c r="A208" s="18">
        <v>41</v>
      </c>
      <c r="B208" s="18" t="s">
        <v>197</v>
      </c>
      <c r="C208" s="24" t="s">
        <v>128</v>
      </c>
      <c r="D208" s="25">
        <v>0.68128973245620728</v>
      </c>
      <c r="E208" s="23">
        <v>0.53090882301330566</v>
      </c>
      <c r="F208" s="23">
        <v>0.4869881272315979</v>
      </c>
      <c r="G208" s="23">
        <v>0.68128973245620728</v>
      </c>
      <c r="H208" s="23">
        <v>0.45501434803009028</v>
      </c>
    </row>
    <row r="209" spans="1:8">
      <c r="A209" s="18">
        <v>41</v>
      </c>
      <c r="B209" s="18" t="s">
        <v>312</v>
      </c>
      <c r="C209" s="24" t="s">
        <v>128</v>
      </c>
      <c r="D209" s="25">
        <v>0.76411187648773193</v>
      </c>
      <c r="E209" s="23">
        <v>0.57575881481170654</v>
      </c>
      <c r="F209" s="23">
        <v>0.54598492383956909</v>
      </c>
      <c r="G209" s="23">
        <v>0.76411187648773193</v>
      </c>
      <c r="H209" s="23">
        <v>0.76229715347290039</v>
      </c>
    </row>
    <row r="210" spans="1:8">
      <c r="A210" s="18">
        <v>41</v>
      </c>
      <c r="B210" s="18" t="s">
        <v>313</v>
      </c>
      <c r="C210" s="24" t="s">
        <v>128</v>
      </c>
      <c r="D210" s="25">
        <v>0.67446625232696533</v>
      </c>
      <c r="E210" s="23">
        <v>0.44211587309837341</v>
      </c>
      <c r="F210" s="23">
        <v>0.4378008246421814</v>
      </c>
      <c r="G210" s="23">
        <v>0.67446625232696533</v>
      </c>
      <c r="H210" s="23">
        <v>0.44806367158889771</v>
      </c>
    </row>
    <row r="211" spans="1:8">
      <c r="A211" s="18">
        <v>1</v>
      </c>
      <c r="B211" s="18" t="s">
        <v>314</v>
      </c>
      <c r="C211" s="24" t="s">
        <v>125</v>
      </c>
      <c r="D211" s="25">
        <v>0.97080117464065552</v>
      </c>
      <c r="E211" s="23">
        <v>0.58032572269439697</v>
      </c>
      <c r="F211" s="23">
        <v>0.54299986362457275</v>
      </c>
      <c r="G211" s="23">
        <v>0.49413809180259699</v>
      </c>
      <c r="H211" s="23">
        <v>0.97080117464065552</v>
      </c>
    </row>
    <row r="212" spans="1:8">
      <c r="A212" s="18">
        <v>2</v>
      </c>
      <c r="B212" s="18" t="s">
        <v>315</v>
      </c>
      <c r="C212" s="24" t="s">
        <v>125</v>
      </c>
      <c r="D212" s="25">
        <v>0.74408048391342163</v>
      </c>
      <c r="E212" s="23">
        <v>0.43206387758254999</v>
      </c>
      <c r="F212" s="23">
        <v>0.49591922760009771</v>
      </c>
      <c r="G212" s="23">
        <v>0.39856645464897161</v>
      </c>
      <c r="H212" s="23">
        <v>0.74408048391342163</v>
      </c>
    </row>
    <row r="213" spans="1:8">
      <c r="A213" s="18">
        <v>3</v>
      </c>
      <c r="B213" s="18" t="s">
        <v>316</v>
      </c>
      <c r="C213" s="24" t="s">
        <v>125</v>
      </c>
      <c r="D213" s="25">
        <v>0.81928372383117676</v>
      </c>
      <c r="E213" s="23">
        <v>0.55198556184768677</v>
      </c>
      <c r="F213" s="23">
        <v>0.52005094289779663</v>
      </c>
      <c r="G213" s="23">
        <v>0.57948851585388184</v>
      </c>
      <c r="H213" s="23">
        <v>0.81928372383117676</v>
      </c>
    </row>
    <row r="214" spans="1:8">
      <c r="A214" s="18">
        <v>4</v>
      </c>
      <c r="B214" s="18" t="s">
        <v>317</v>
      </c>
      <c r="C214" s="24" t="s">
        <v>125</v>
      </c>
      <c r="D214" s="25">
        <v>0.69440019130706787</v>
      </c>
      <c r="E214" s="23">
        <v>0.5342177152633667</v>
      </c>
      <c r="F214" s="23">
        <v>0.57709348201751709</v>
      </c>
      <c r="G214" s="23">
        <v>0.5745474100112915</v>
      </c>
      <c r="H214" s="23">
        <v>0.69440019130706787</v>
      </c>
    </row>
    <row r="215" spans="1:8">
      <c r="A215" s="18">
        <v>6</v>
      </c>
      <c r="B215" s="18" t="s">
        <v>318</v>
      </c>
      <c r="C215" s="24" t="s">
        <v>125</v>
      </c>
      <c r="D215" s="25">
        <v>0.75327080488204956</v>
      </c>
      <c r="E215" s="23">
        <v>0.69756686687469482</v>
      </c>
      <c r="F215" s="23">
        <v>0.52798014879226685</v>
      </c>
      <c r="G215" s="23">
        <v>0.68228828907012939</v>
      </c>
      <c r="H215" s="23">
        <v>0.75327080488204956</v>
      </c>
    </row>
    <row r="216" spans="1:8">
      <c r="A216" s="18">
        <v>6</v>
      </c>
      <c r="B216" s="18" t="s">
        <v>314</v>
      </c>
      <c r="C216" s="24" t="s">
        <v>125</v>
      </c>
      <c r="D216" s="25">
        <v>0.97080117464065552</v>
      </c>
      <c r="E216" s="23">
        <v>0.58032572269439697</v>
      </c>
      <c r="F216" s="23">
        <v>0.54299986362457275</v>
      </c>
      <c r="G216" s="23">
        <v>0.49413809180259699</v>
      </c>
      <c r="H216" s="23">
        <v>0.97080117464065552</v>
      </c>
    </row>
    <row r="217" spans="1:8">
      <c r="A217" s="18">
        <v>7</v>
      </c>
      <c r="B217" s="18" t="s">
        <v>319</v>
      </c>
      <c r="C217" s="24" t="s">
        <v>125</v>
      </c>
      <c r="D217" s="25">
        <v>0.66680145263671875</v>
      </c>
      <c r="E217" s="23">
        <v>0.53596442937850952</v>
      </c>
      <c r="F217" s="23">
        <v>0.53033739328384399</v>
      </c>
      <c r="G217" s="23">
        <v>0.66639155149459839</v>
      </c>
      <c r="H217" s="23">
        <v>0.66680145263671875</v>
      </c>
    </row>
    <row r="218" spans="1:8">
      <c r="A218" s="18">
        <v>7</v>
      </c>
      <c r="B218" s="18" t="s">
        <v>320</v>
      </c>
      <c r="C218" s="24" t="s">
        <v>125</v>
      </c>
      <c r="D218" s="25">
        <v>0.94822525978088379</v>
      </c>
      <c r="E218" s="23">
        <v>0.57990342378616333</v>
      </c>
      <c r="F218" s="23">
        <v>0.57294386625289917</v>
      </c>
      <c r="G218" s="23">
        <v>0.48216879367828369</v>
      </c>
      <c r="H218" s="23">
        <v>0.94822525978088379</v>
      </c>
    </row>
    <row r="219" spans="1:8">
      <c r="A219" s="18">
        <v>7</v>
      </c>
      <c r="B219" s="18" t="s">
        <v>321</v>
      </c>
      <c r="C219" s="24" t="s">
        <v>125</v>
      </c>
      <c r="D219" s="25">
        <v>0.54291516542434692</v>
      </c>
      <c r="E219" s="23">
        <v>0.38181546330451971</v>
      </c>
      <c r="F219" s="23">
        <v>0.46397536993026728</v>
      </c>
      <c r="G219" s="23">
        <v>0.4467008113861084</v>
      </c>
      <c r="H219" s="23">
        <v>0.54291516542434692</v>
      </c>
    </row>
    <row r="220" spans="1:8">
      <c r="A220" s="18">
        <v>8</v>
      </c>
      <c r="B220" s="18" t="s">
        <v>322</v>
      </c>
      <c r="C220" s="24" t="s">
        <v>125</v>
      </c>
      <c r="D220" s="25">
        <v>0.96432828903198242</v>
      </c>
      <c r="E220" s="23">
        <v>0.56287574768066406</v>
      </c>
      <c r="F220" s="23">
        <v>0.5265192985534668</v>
      </c>
      <c r="G220" s="23">
        <v>0.50797373056411743</v>
      </c>
      <c r="H220" s="23">
        <v>0.96432828903198242</v>
      </c>
    </row>
    <row r="221" spans="1:8">
      <c r="A221" s="18">
        <v>9</v>
      </c>
      <c r="B221" s="18" t="s">
        <v>323</v>
      </c>
      <c r="C221" s="24" t="s">
        <v>125</v>
      </c>
      <c r="D221" s="25">
        <v>0.82348752021789551</v>
      </c>
      <c r="E221" s="23">
        <v>0.52656418085098267</v>
      </c>
      <c r="F221" s="23">
        <v>0.46783006191253662</v>
      </c>
      <c r="G221" s="23">
        <v>0.77076339721679688</v>
      </c>
      <c r="H221" s="23">
        <v>0.82348752021789551</v>
      </c>
    </row>
    <row r="222" spans="1:8">
      <c r="A222" s="18">
        <v>9</v>
      </c>
      <c r="B222" s="18" t="s">
        <v>314</v>
      </c>
      <c r="C222" s="24" t="s">
        <v>125</v>
      </c>
      <c r="D222" s="25">
        <v>0.97080117464065552</v>
      </c>
      <c r="E222" s="23">
        <v>0.58032572269439697</v>
      </c>
      <c r="F222" s="23">
        <v>0.54299986362457275</v>
      </c>
      <c r="G222" s="23">
        <v>0.49413809180259699</v>
      </c>
      <c r="H222" s="23">
        <v>0.97080117464065552</v>
      </c>
    </row>
    <row r="223" spans="1:8">
      <c r="A223" s="18">
        <v>10</v>
      </c>
      <c r="B223" s="18" t="s">
        <v>324</v>
      </c>
      <c r="C223" s="24" t="s">
        <v>125</v>
      </c>
      <c r="D223" s="25">
        <v>1</v>
      </c>
      <c r="E223" s="23">
        <v>0.56172263622283936</v>
      </c>
      <c r="F223" s="23">
        <v>0.55277442932128906</v>
      </c>
      <c r="G223" s="23">
        <v>0.47541773319244379</v>
      </c>
      <c r="H223" s="23">
        <v>1</v>
      </c>
    </row>
    <row r="224" spans="1:8">
      <c r="A224" s="18">
        <v>14</v>
      </c>
      <c r="B224" s="18" t="s">
        <v>325</v>
      </c>
      <c r="C224" s="24" t="s">
        <v>125</v>
      </c>
      <c r="D224" s="25">
        <v>0.7796320915222168</v>
      </c>
      <c r="E224" s="23">
        <v>0.57468211650848389</v>
      </c>
      <c r="F224" s="23">
        <v>0.42180684208869929</v>
      </c>
      <c r="G224" s="23">
        <v>0.42977592349052429</v>
      </c>
      <c r="H224" s="23">
        <v>0.7796320915222168</v>
      </c>
    </row>
    <row r="225" spans="1:8">
      <c r="A225" s="18">
        <v>14</v>
      </c>
      <c r="B225" s="18" t="s">
        <v>326</v>
      </c>
      <c r="C225" s="24" t="s">
        <v>125</v>
      </c>
      <c r="D225" s="25">
        <v>0.60340940952301025</v>
      </c>
      <c r="E225" s="23">
        <v>0.59489339590072632</v>
      </c>
      <c r="F225" s="23">
        <v>0.41901916265487671</v>
      </c>
      <c r="G225" s="23">
        <v>0.45379281044006348</v>
      </c>
      <c r="H225" s="23">
        <v>0.60340940952301025</v>
      </c>
    </row>
    <row r="226" spans="1:8">
      <c r="A226" s="18">
        <v>14</v>
      </c>
      <c r="B226" s="18" t="s">
        <v>327</v>
      </c>
      <c r="C226" s="24" t="s">
        <v>125</v>
      </c>
      <c r="D226" s="25">
        <v>0.52518606185913086</v>
      </c>
      <c r="E226" s="23">
        <v>0.50846183300018311</v>
      </c>
      <c r="F226" s="23">
        <v>0.46885049343109131</v>
      </c>
      <c r="G226" s="23">
        <v>0.45144671201705933</v>
      </c>
      <c r="H226" s="23">
        <v>0.52518606185913086</v>
      </c>
    </row>
    <row r="227" spans="1:8">
      <c r="A227" s="18">
        <v>16</v>
      </c>
      <c r="B227" s="18" t="s">
        <v>328</v>
      </c>
      <c r="C227" s="24" t="s">
        <v>125</v>
      </c>
      <c r="D227" s="25">
        <v>0.67423218488693237</v>
      </c>
      <c r="E227" s="23">
        <v>0.39131441712379461</v>
      </c>
      <c r="F227" s="23">
        <v>0.35450863838195801</v>
      </c>
      <c r="G227" s="23">
        <v>0.49468493461608892</v>
      </c>
      <c r="H227" s="23">
        <v>0.67423218488693237</v>
      </c>
    </row>
    <row r="228" spans="1:8">
      <c r="A228" s="18">
        <v>18</v>
      </c>
      <c r="B228" s="18" t="s">
        <v>329</v>
      </c>
      <c r="C228" s="24" t="s">
        <v>125</v>
      </c>
      <c r="D228" s="25">
        <v>0.73229438066482544</v>
      </c>
      <c r="E228" s="23">
        <v>0.58324348926544189</v>
      </c>
      <c r="F228" s="23">
        <v>0.40823662281036383</v>
      </c>
      <c r="G228" s="23">
        <v>0.4369637668132782</v>
      </c>
      <c r="H228" s="23">
        <v>0.73229438066482544</v>
      </c>
    </row>
    <row r="229" spans="1:8">
      <c r="A229" s="18">
        <v>20</v>
      </c>
      <c r="B229" s="18" t="s">
        <v>330</v>
      </c>
      <c r="C229" s="24" t="s">
        <v>125</v>
      </c>
      <c r="D229" s="25">
        <v>0.53290349245071411</v>
      </c>
      <c r="E229" s="23">
        <v>0.35657522082328802</v>
      </c>
      <c r="F229" s="23">
        <v>0.42925721406936651</v>
      </c>
      <c r="G229" s="23">
        <v>0.45308417081832891</v>
      </c>
      <c r="H229" s="23">
        <v>0.53290349245071411</v>
      </c>
    </row>
    <row r="230" spans="1:8">
      <c r="A230" s="18">
        <v>20</v>
      </c>
      <c r="B230" s="18" t="s">
        <v>314</v>
      </c>
      <c r="C230" s="24" t="s">
        <v>125</v>
      </c>
      <c r="D230" s="25">
        <v>0.97080117464065552</v>
      </c>
      <c r="E230" s="23">
        <v>0.58032572269439697</v>
      </c>
      <c r="F230" s="23">
        <v>0.54299986362457275</v>
      </c>
      <c r="G230" s="23">
        <v>0.49413809180259699</v>
      </c>
      <c r="H230" s="23">
        <v>0.97080117464065552</v>
      </c>
    </row>
    <row r="231" spans="1:8">
      <c r="A231" s="18">
        <v>21</v>
      </c>
      <c r="B231" s="18" t="s">
        <v>331</v>
      </c>
      <c r="C231" s="24" t="s">
        <v>125</v>
      </c>
      <c r="D231" s="25">
        <v>0.4182659387588501</v>
      </c>
      <c r="E231" s="23">
        <v>0.38089165091514587</v>
      </c>
      <c r="F231" s="23">
        <v>0.38276663422584528</v>
      </c>
      <c r="G231" s="23">
        <v>0.36667042970657349</v>
      </c>
      <c r="H231" s="23">
        <v>0.4182659387588501</v>
      </c>
    </row>
    <row r="232" spans="1:8">
      <c r="A232" s="18">
        <v>23</v>
      </c>
      <c r="B232" s="18" t="s">
        <v>332</v>
      </c>
      <c r="C232" s="24" t="s">
        <v>125</v>
      </c>
      <c r="D232" s="25">
        <v>0.44565272331237787</v>
      </c>
      <c r="E232" s="23">
        <v>0.40536996722221369</v>
      </c>
      <c r="F232" s="23">
        <v>0.42288115620613098</v>
      </c>
      <c r="G232" s="23">
        <v>0.43020999431610107</v>
      </c>
      <c r="H232" s="23">
        <v>0.44565272331237787</v>
      </c>
    </row>
    <row r="233" spans="1:8">
      <c r="A233" s="18">
        <v>24</v>
      </c>
      <c r="B233" s="18" t="s">
        <v>333</v>
      </c>
      <c r="C233" s="24" t="s">
        <v>125</v>
      </c>
      <c r="D233" s="25">
        <v>0.86108887195587158</v>
      </c>
      <c r="E233" s="23">
        <v>0.44904470443725591</v>
      </c>
      <c r="F233" s="23">
        <v>0.59668582677841187</v>
      </c>
      <c r="G233" s="23">
        <v>0.47636634111404419</v>
      </c>
      <c r="H233" s="23">
        <v>0.86108887195587158</v>
      </c>
    </row>
    <row r="234" spans="1:8">
      <c r="A234" s="18">
        <v>25</v>
      </c>
      <c r="B234" s="18" t="s">
        <v>333</v>
      </c>
      <c r="C234" s="24" t="s">
        <v>125</v>
      </c>
      <c r="D234" s="25">
        <v>0.86108887195587158</v>
      </c>
      <c r="E234" s="23">
        <v>0.44904470443725591</v>
      </c>
      <c r="F234" s="23">
        <v>0.59668582677841187</v>
      </c>
      <c r="G234" s="23">
        <v>0.47636634111404419</v>
      </c>
      <c r="H234" s="23">
        <v>0.86108887195587158</v>
      </c>
    </row>
    <row r="235" spans="1:8">
      <c r="A235" s="18">
        <v>26</v>
      </c>
      <c r="B235" s="18" t="s">
        <v>334</v>
      </c>
      <c r="C235" s="24" t="s">
        <v>125</v>
      </c>
      <c r="D235" s="25">
        <v>0.53103184700012207</v>
      </c>
      <c r="E235" s="23">
        <v>0.42422878742218018</v>
      </c>
      <c r="F235" s="23">
        <v>0.42311754822731018</v>
      </c>
      <c r="G235" s="23">
        <v>0.51244789361953735</v>
      </c>
      <c r="H235" s="23">
        <v>0.53103184700012207</v>
      </c>
    </row>
    <row r="236" spans="1:8">
      <c r="A236" s="18">
        <v>26</v>
      </c>
      <c r="B236" s="18" t="s">
        <v>335</v>
      </c>
      <c r="C236" s="24" t="s">
        <v>125</v>
      </c>
      <c r="D236" s="25">
        <v>0.51664268970489502</v>
      </c>
      <c r="E236" s="23">
        <v>0.3285524845123291</v>
      </c>
      <c r="F236" s="23">
        <v>0.33279398083686829</v>
      </c>
      <c r="G236" s="23">
        <v>0.47934308648109442</v>
      </c>
      <c r="H236" s="23">
        <v>0.51664268970489502</v>
      </c>
    </row>
    <row r="237" spans="1:8">
      <c r="A237" s="18">
        <v>26</v>
      </c>
      <c r="B237" s="18" t="s">
        <v>336</v>
      </c>
      <c r="C237" s="24" t="s">
        <v>125</v>
      </c>
      <c r="D237" s="25">
        <v>0.88811719417572021</v>
      </c>
      <c r="E237" s="23">
        <v>0.50792157649993896</v>
      </c>
      <c r="F237" s="23">
        <v>0.4871845543384552</v>
      </c>
      <c r="G237" s="23">
        <v>0.39178508520126343</v>
      </c>
      <c r="H237" s="23">
        <v>0.88811719417572021</v>
      </c>
    </row>
    <row r="238" spans="1:8">
      <c r="A238" s="18">
        <v>27</v>
      </c>
      <c r="B238" s="18" t="s">
        <v>337</v>
      </c>
      <c r="C238" s="24" t="s">
        <v>125</v>
      </c>
      <c r="D238" s="25">
        <v>0.57755041122436523</v>
      </c>
      <c r="E238" s="23">
        <v>0.52358412742614746</v>
      </c>
      <c r="F238" s="23">
        <v>0.5220714807510376</v>
      </c>
      <c r="G238" s="23">
        <v>0.52113974094390869</v>
      </c>
      <c r="H238" s="23">
        <v>0.57755041122436523</v>
      </c>
    </row>
    <row r="239" spans="1:8">
      <c r="A239" s="18">
        <v>27</v>
      </c>
      <c r="B239" s="18" t="s">
        <v>338</v>
      </c>
      <c r="C239" s="24" t="s">
        <v>125</v>
      </c>
      <c r="D239" s="25">
        <v>0.40944099426269531</v>
      </c>
      <c r="E239" s="23">
        <v>0.40576076507568359</v>
      </c>
      <c r="F239" s="23">
        <v>0.32566195726394648</v>
      </c>
      <c r="G239" s="23">
        <v>0.40444466471672058</v>
      </c>
      <c r="H239" s="23">
        <v>0.40944099426269531</v>
      </c>
    </row>
    <row r="240" spans="1:8">
      <c r="A240" s="18">
        <v>27</v>
      </c>
      <c r="B240" s="18" t="s">
        <v>339</v>
      </c>
      <c r="C240" s="24" t="s">
        <v>125</v>
      </c>
      <c r="D240" s="25">
        <v>0.44828557968139648</v>
      </c>
      <c r="E240" s="23">
        <v>0.32754379510879522</v>
      </c>
      <c r="F240" s="23">
        <v>0.2977670431137085</v>
      </c>
      <c r="G240" s="23">
        <v>0.36980977654457092</v>
      </c>
      <c r="H240" s="23">
        <v>0.44828557968139648</v>
      </c>
    </row>
    <row r="241" spans="1:8">
      <c r="A241" s="18">
        <v>28</v>
      </c>
      <c r="B241" s="18" t="s">
        <v>340</v>
      </c>
      <c r="C241" s="24" t="s">
        <v>125</v>
      </c>
      <c r="D241" s="25">
        <v>0.49722832441329962</v>
      </c>
      <c r="E241" s="23">
        <v>0.41436237096786499</v>
      </c>
      <c r="F241" s="23">
        <v>0.32644951343536383</v>
      </c>
      <c r="G241" s="23">
        <v>0.41672417521476751</v>
      </c>
      <c r="H241" s="23">
        <v>0.49722832441329962</v>
      </c>
    </row>
    <row r="242" spans="1:8">
      <c r="A242" s="18">
        <v>28</v>
      </c>
      <c r="B242" s="18" t="s">
        <v>341</v>
      </c>
      <c r="C242" s="24" t="s">
        <v>125</v>
      </c>
      <c r="D242" s="25">
        <v>0.65479731559753418</v>
      </c>
      <c r="E242" s="23">
        <v>0.48463606834411621</v>
      </c>
      <c r="F242" s="23">
        <v>0.57674473524093628</v>
      </c>
      <c r="G242" s="23">
        <v>0.5440441370010376</v>
      </c>
      <c r="H242" s="23">
        <v>0.65479731559753418</v>
      </c>
    </row>
    <row r="243" spans="1:8">
      <c r="A243" s="18">
        <v>29</v>
      </c>
      <c r="B243" s="18" t="s">
        <v>342</v>
      </c>
      <c r="C243" s="24" t="s">
        <v>125</v>
      </c>
      <c r="D243" s="25">
        <v>0.70102858543395996</v>
      </c>
      <c r="E243" s="23">
        <v>0.6349109411239624</v>
      </c>
      <c r="F243" s="23">
        <v>0.6561247706413269</v>
      </c>
      <c r="G243" s="23">
        <v>0.6175878643989563</v>
      </c>
      <c r="H243" s="23">
        <v>0.70102858543395996</v>
      </c>
    </row>
    <row r="244" spans="1:8">
      <c r="A244" s="18">
        <v>29</v>
      </c>
      <c r="B244" s="18" t="s">
        <v>343</v>
      </c>
      <c r="C244" s="24" t="s">
        <v>125</v>
      </c>
      <c r="D244" s="25">
        <v>0.80220431089401245</v>
      </c>
      <c r="E244" s="23">
        <v>0.52667951583862305</v>
      </c>
      <c r="F244" s="23">
        <v>0.58864486217498779</v>
      </c>
      <c r="G244" s="23">
        <v>0.41654551029205322</v>
      </c>
      <c r="H244" s="23">
        <v>0.80220431089401245</v>
      </c>
    </row>
    <row r="245" spans="1:8">
      <c r="A245" s="18">
        <v>32</v>
      </c>
      <c r="B245" s="18" t="s">
        <v>324</v>
      </c>
      <c r="C245" s="24" t="s">
        <v>125</v>
      </c>
      <c r="D245" s="25">
        <v>1</v>
      </c>
      <c r="E245" s="23">
        <v>0.56172263622283936</v>
      </c>
      <c r="F245" s="23">
        <v>0.55277442932128906</v>
      </c>
      <c r="G245" s="23">
        <v>0.47541773319244379</v>
      </c>
      <c r="H245" s="23">
        <v>1</v>
      </c>
    </row>
    <row r="246" spans="1:8">
      <c r="A246" s="18">
        <v>32</v>
      </c>
      <c r="B246" s="18" t="s">
        <v>344</v>
      </c>
      <c r="C246" s="24" t="s">
        <v>125</v>
      </c>
      <c r="D246" s="25">
        <v>0.60787302255630493</v>
      </c>
      <c r="E246" s="23">
        <v>0.54508376121520996</v>
      </c>
      <c r="F246" s="23">
        <v>0.47660690546035772</v>
      </c>
      <c r="G246" s="23">
        <v>0.58244192600250244</v>
      </c>
      <c r="H246" s="23">
        <v>0.60787302255630493</v>
      </c>
    </row>
    <row r="247" spans="1:8">
      <c r="A247" s="18">
        <v>32</v>
      </c>
      <c r="B247" s="18" t="s">
        <v>345</v>
      </c>
      <c r="C247" s="24" t="s">
        <v>125</v>
      </c>
      <c r="D247" s="25">
        <v>0.71432346105575562</v>
      </c>
      <c r="E247" s="23">
        <v>0.63276875019073486</v>
      </c>
      <c r="F247" s="23">
        <v>0.55034041404724121</v>
      </c>
      <c r="G247" s="23">
        <v>0.67009782791137695</v>
      </c>
      <c r="H247" s="23">
        <v>0.71432346105575562</v>
      </c>
    </row>
    <row r="248" spans="1:8">
      <c r="A248" s="18">
        <v>32</v>
      </c>
      <c r="B248" s="18" t="s">
        <v>346</v>
      </c>
      <c r="C248" s="24" t="s">
        <v>125</v>
      </c>
      <c r="D248" s="25">
        <v>0.62300640344619751</v>
      </c>
      <c r="E248" s="23">
        <v>0.47783797979354858</v>
      </c>
      <c r="F248" s="23">
        <v>0.57297623157501221</v>
      </c>
      <c r="G248" s="23">
        <v>0.38437318801879877</v>
      </c>
      <c r="H248" s="23">
        <v>0.62300640344619751</v>
      </c>
    </row>
    <row r="249" spans="1:8">
      <c r="A249" s="18">
        <v>33</v>
      </c>
      <c r="B249" s="18" t="s">
        <v>314</v>
      </c>
      <c r="C249" s="24" t="s">
        <v>125</v>
      </c>
      <c r="D249" s="25">
        <v>0.97080117464065552</v>
      </c>
      <c r="E249" s="23">
        <v>0.58032572269439697</v>
      </c>
      <c r="F249" s="23">
        <v>0.54299986362457275</v>
      </c>
      <c r="G249" s="23">
        <v>0.49413809180259699</v>
      </c>
      <c r="H249" s="23">
        <v>0.97080117464065552</v>
      </c>
    </row>
    <row r="250" spans="1:8">
      <c r="A250" s="18">
        <v>34</v>
      </c>
      <c r="B250" s="18" t="s">
        <v>347</v>
      </c>
      <c r="C250" s="24" t="s">
        <v>125</v>
      </c>
      <c r="D250" s="25">
        <v>0.64234137535095215</v>
      </c>
      <c r="E250" s="23">
        <v>0.56626510620117188</v>
      </c>
      <c r="F250" s="23">
        <v>0.52501595020294189</v>
      </c>
      <c r="G250" s="23">
        <v>0.59020125865936279</v>
      </c>
      <c r="H250" s="23">
        <v>0.64234137535095215</v>
      </c>
    </row>
    <row r="251" spans="1:8">
      <c r="A251" s="18">
        <v>35</v>
      </c>
      <c r="B251" s="18" t="s">
        <v>348</v>
      </c>
      <c r="C251" s="24" t="s">
        <v>125</v>
      </c>
      <c r="D251" s="25">
        <v>0.73590421676635742</v>
      </c>
      <c r="E251" s="23">
        <v>0.41182571649551392</v>
      </c>
      <c r="F251" s="23">
        <v>0.33897647261619568</v>
      </c>
      <c r="G251" s="23">
        <v>0.39674058556556702</v>
      </c>
      <c r="H251" s="23">
        <v>0.73590421676635742</v>
      </c>
    </row>
    <row r="252" spans="1:8">
      <c r="A252" s="18">
        <v>35</v>
      </c>
      <c r="B252" s="18" t="s">
        <v>349</v>
      </c>
      <c r="C252" s="24" t="s">
        <v>125</v>
      </c>
      <c r="D252" s="25">
        <v>0.55531632900238037</v>
      </c>
      <c r="E252" s="23">
        <v>0.37505847215652471</v>
      </c>
      <c r="F252" s="23">
        <v>0.532143235206604</v>
      </c>
      <c r="G252" s="23">
        <v>0.43348002433776861</v>
      </c>
      <c r="H252" s="23">
        <v>0.55531632900238037</v>
      </c>
    </row>
    <row r="253" spans="1:8">
      <c r="A253" s="18">
        <v>35</v>
      </c>
      <c r="B253" s="18" t="s">
        <v>350</v>
      </c>
      <c r="C253" s="24" t="s">
        <v>125</v>
      </c>
      <c r="D253" s="25">
        <v>0.59757983684539795</v>
      </c>
      <c r="E253" s="23">
        <v>0.41434532403945917</v>
      </c>
      <c r="F253" s="23">
        <v>0.42768722772598272</v>
      </c>
      <c r="G253" s="23">
        <v>0.40342643857002258</v>
      </c>
      <c r="H253" s="23">
        <v>0.59757983684539795</v>
      </c>
    </row>
    <row r="254" spans="1:8">
      <c r="A254" s="18">
        <v>36</v>
      </c>
      <c r="B254" s="18" t="s">
        <v>351</v>
      </c>
      <c r="C254" s="24" t="s">
        <v>125</v>
      </c>
      <c r="D254" s="25">
        <v>0.74239397048950195</v>
      </c>
      <c r="E254" s="23">
        <v>0.53589522838592529</v>
      </c>
      <c r="F254" s="23">
        <v>0.44599208235740662</v>
      </c>
      <c r="G254" s="23">
        <v>0.57515090703964233</v>
      </c>
      <c r="H254" s="23">
        <v>0.74239397048950195</v>
      </c>
    </row>
    <row r="255" spans="1:8">
      <c r="A255" s="18">
        <v>36</v>
      </c>
      <c r="B255" s="18" t="s">
        <v>352</v>
      </c>
      <c r="C255" s="24" t="s">
        <v>125</v>
      </c>
      <c r="D255" s="25">
        <v>0.509979248046875</v>
      </c>
      <c r="E255" s="23">
        <v>0.42151948809623718</v>
      </c>
      <c r="F255" s="23">
        <v>0.40397268533706671</v>
      </c>
      <c r="G255" s="23">
        <v>0.42305892705917358</v>
      </c>
      <c r="H255" s="23">
        <v>0.509979248046875</v>
      </c>
    </row>
    <row r="256" spans="1:8">
      <c r="A256" s="18">
        <v>37</v>
      </c>
      <c r="B256" s="18" t="s">
        <v>353</v>
      </c>
      <c r="C256" s="24" t="s">
        <v>125</v>
      </c>
      <c r="D256" s="25">
        <v>0.60242182016372681</v>
      </c>
      <c r="E256" s="23">
        <v>0.44938334822654719</v>
      </c>
      <c r="F256" s="23">
        <v>0.45157986879348749</v>
      </c>
      <c r="G256" s="23">
        <v>0.50240540504455566</v>
      </c>
      <c r="H256" s="23">
        <v>0.60242182016372681</v>
      </c>
    </row>
    <row r="257" spans="1:8">
      <c r="A257" s="18">
        <v>37</v>
      </c>
      <c r="B257" s="18" t="s">
        <v>354</v>
      </c>
      <c r="C257" s="24" t="s">
        <v>125</v>
      </c>
      <c r="D257" s="25">
        <v>0.74818605184555054</v>
      </c>
      <c r="E257" s="23">
        <v>0.44423222541809082</v>
      </c>
      <c r="F257" s="23">
        <v>0.55426979064941406</v>
      </c>
      <c r="G257" s="23">
        <v>0.66581434011459351</v>
      </c>
      <c r="H257" s="23">
        <v>0.74818605184555054</v>
      </c>
    </row>
    <row r="258" spans="1:8">
      <c r="A258" s="18">
        <v>37</v>
      </c>
      <c r="B258" s="18" t="s">
        <v>355</v>
      </c>
      <c r="C258" s="24" t="s">
        <v>125</v>
      </c>
      <c r="D258" s="25">
        <v>0.73396307229995728</v>
      </c>
      <c r="E258" s="23">
        <v>0.57664507627487183</v>
      </c>
      <c r="F258" s="23">
        <v>0.41137963533401489</v>
      </c>
      <c r="G258" s="23">
        <v>0.45556575059890753</v>
      </c>
      <c r="H258" s="23">
        <v>0.73396307229995728</v>
      </c>
    </row>
    <row r="259" spans="1:8">
      <c r="A259" s="18">
        <v>37</v>
      </c>
      <c r="B259" s="18" t="s">
        <v>356</v>
      </c>
      <c r="C259" s="24" t="s">
        <v>125</v>
      </c>
      <c r="D259" s="25">
        <v>0.51242411136627197</v>
      </c>
      <c r="E259" s="23">
        <v>0.47721469402313232</v>
      </c>
      <c r="F259" s="23">
        <v>0.43087297677993769</v>
      </c>
      <c r="G259" s="23">
        <v>0.47109436988830572</v>
      </c>
      <c r="H259" s="23">
        <v>0.51242411136627197</v>
      </c>
    </row>
    <row r="260" spans="1:8">
      <c r="A260" s="18">
        <v>37</v>
      </c>
      <c r="B260" s="18" t="s">
        <v>357</v>
      </c>
      <c r="C260" s="24" t="s">
        <v>125</v>
      </c>
      <c r="D260" s="25">
        <v>0.64072716236114502</v>
      </c>
      <c r="E260" s="23">
        <v>0.53598743677139282</v>
      </c>
      <c r="F260" s="23">
        <v>0.42197602987289429</v>
      </c>
      <c r="G260" s="23">
        <v>0.46139863133430481</v>
      </c>
      <c r="H260" s="23">
        <v>0.64072716236114502</v>
      </c>
    </row>
    <row r="261" spans="1:8">
      <c r="A261" s="18">
        <v>37</v>
      </c>
      <c r="B261" s="18" t="s">
        <v>358</v>
      </c>
      <c r="C261" s="24" t="s">
        <v>125</v>
      </c>
      <c r="D261" s="25">
        <v>0.84945642948150635</v>
      </c>
      <c r="E261" s="23">
        <v>0.55956095457077026</v>
      </c>
      <c r="F261" s="23">
        <v>0.44593173265457148</v>
      </c>
      <c r="G261" s="23">
        <v>0.60741806030273438</v>
      </c>
      <c r="H261" s="23">
        <v>0.84945642948150635</v>
      </c>
    </row>
    <row r="262" spans="1:8">
      <c r="A262" s="18">
        <v>38</v>
      </c>
      <c r="B262" s="18" t="s">
        <v>359</v>
      </c>
      <c r="C262" s="24" t="s">
        <v>125</v>
      </c>
      <c r="D262" s="25">
        <v>0.95218437910079956</v>
      </c>
      <c r="E262" s="23">
        <v>0.57608157396316528</v>
      </c>
      <c r="F262" s="23">
        <v>0.57149451971054077</v>
      </c>
      <c r="G262" s="23">
        <v>0.48290959000587458</v>
      </c>
      <c r="H262" s="23">
        <v>0.95218437910079956</v>
      </c>
    </row>
    <row r="263" spans="1:8">
      <c r="A263" s="18">
        <v>38</v>
      </c>
      <c r="B263" s="18" t="s">
        <v>360</v>
      </c>
      <c r="C263" s="24" t="s">
        <v>125</v>
      </c>
      <c r="D263" s="25">
        <v>0.50973039865493774</v>
      </c>
      <c r="E263" s="23">
        <v>0.39228600263595581</v>
      </c>
      <c r="F263" s="23">
        <v>0.38850754499435419</v>
      </c>
      <c r="G263" s="23">
        <v>0.39965331554412842</v>
      </c>
      <c r="H263" s="23">
        <v>0.50973039865493774</v>
      </c>
    </row>
    <row r="264" spans="1:8">
      <c r="A264" s="18">
        <v>39</v>
      </c>
      <c r="B264" s="18" t="s">
        <v>322</v>
      </c>
      <c r="C264" s="24" t="s">
        <v>125</v>
      </c>
      <c r="D264" s="25">
        <v>0.96432828903198242</v>
      </c>
      <c r="E264" s="23">
        <v>0.56287574768066406</v>
      </c>
      <c r="F264" s="23">
        <v>0.5265192985534668</v>
      </c>
      <c r="G264" s="23">
        <v>0.50797373056411743</v>
      </c>
      <c r="H264" s="23">
        <v>0.96432828903198242</v>
      </c>
    </row>
    <row r="265" spans="1:8">
      <c r="A265" s="18">
        <v>40</v>
      </c>
      <c r="B265" s="18" t="s">
        <v>361</v>
      </c>
      <c r="C265" s="24" t="s">
        <v>125</v>
      </c>
      <c r="D265" s="25">
        <v>0.46261119842529302</v>
      </c>
      <c r="E265" s="23">
        <v>0.34897547960281372</v>
      </c>
      <c r="F265" s="23">
        <v>0.33708584308624268</v>
      </c>
      <c r="G265" s="23">
        <v>0.43046525120735168</v>
      </c>
      <c r="H265" s="23">
        <v>0.46261119842529302</v>
      </c>
    </row>
    <row r="266" spans="1:8">
      <c r="A266" s="18">
        <v>41</v>
      </c>
      <c r="B266" s="18" t="s">
        <v>362</v>
      </c>
      <c r="C266" s="24" t="s">
        <v>125</v>
      </c>
      <c r="D266" s="25">
        <v>0.6455003023147583</v>
      </c>
      <c r="E266" s="23">
        <v>0.46561107039451599</v>
      </c>
      <c r="F266" s="23">
        <v>0.51746916770935059</v>
      </c>
      <c r="G266" s="23">
        <v>0.60510540008544922</v>
      </c>
      <c r="H266" s="23">
        <v>0.6455003023147583</v>
      </c>
    </row>
    <row r="267" spans="1:8">
      <c r="A267" s="18">
        <v>12</v>
      </c>
      <c r="B267" s="18" t="s">
        <v>363</v>
      </c>
      <c r="C267" s="24" t="s">
        <v>364</v>
      </c>
      <c r="D267" s="25">
        <v>0.37733989953994751</v>
      </c>
      <c r="E267" s="23">
        <v>0.28068119287490839</v>
      </c>
      <c r="F267" s="23">
        <v>0.37733989953994751</v>
      </c>
      <c r="G267" s="23">
        <v>0.37140518426895142</v>
      </c>
      <c r="H267" s="23">
        <v>0.36498922109603882</v>
      </c>
    </row>
    <row r="268" spans="1:8">
      <c r="A268" s="18">
        <v>17</v>
      </c>
      <c r="B268" s="18" t="s">
        <v>365</v>
      </c>
      <c r="C268" s="24" t="s">
        <v>364</v>
      </c>
      <c r="D268" s="25">
        <v>0.39576265215873718</v>
      </c>
      <c r="E268" s="23">
        <v>0.3094373345375061</v>
      </c>
      <c r="F268" s="23">
        <v>0.3294142484664917</v>
      </c>
      <c r="G268" s="23">
        <v>0.38646656274795532</v>
      </c>
      <c r="H268" s="23">
        <v>0.39576265215873718</v>
      </c>
    </row>
    <row r="269" spans="1:8">
      <c r="A269" s="18">
        <v>17</v>
      </c>
      <c r="B269" s="18" t="s">
        <v>366</v>
      </c>
      <c r="C269" s="24" t="s">
        <v>364</v>
      </c>
      <c r="D269" s="25">
        <v>0.38791674375534058</v>
      </c>
      <c r="E269" s="23">
        <v>0.3112066388130188</v>
      </c>
      <c r="F269" s="23">
        <v>0.25734338164329529</v>
      </c>
      <c r="G269" s="23">
        <v>0.38791674375534058</v>
      </c>
      <c r="H269" s="23">
        <v>0.30416065454483032</v>
      </c>
    </row>
    <row r="270" spans="1:8">
      <c r="A270" s="18">
        <v>19</v>
      </c>
      <c r="B270" s="18" t="s">
        <v>367</v>
      </c>
      <c r="C270" s="24" t="s">
        <v>364</v>
      </c>
      <c r="D270" s="25">
        <v>0.37699320912361151</v>
      </c>
      <c r="E270" s="23">
        <v>0.28221791982650762</v>
      </c>
      <c r="F270" s="23">
        <v>0.27545961737632751</v>
      </c>
      <c r="G270" s="23">
        <v>0.37699320912361151</v>
      </c>
      <c r="H270" s="23">
        <v>0.30148905515670782</v>
      </c>
    </row>
    <row r="271" spans="1:8">
      <c r="A271" s="18">
        <v>21</v>
      </c>
      <c r="B271" s="18" t="s">
        <v>368</v>
      </c>
      <c r="C271" s="24" t="s">
        <v>364</v>
      </c>
      <c r="D271" s="25">
        <v>0.36996820569038391</v>
      </c>
      <c r="E271" s="23">
        <v>0.31509709358215332</v>
      </c>
      <c r="F271" s="23">
        <v>0.34719297289848328</v>
      </c>
      <c r="G271" s="23">
        <v>0.36996820569038391</v>
      </c>
      <c r="H271" s="23">
        <v>0.35043412446975708</v>
      </c>
    </row>
    <row r="272" spans="1:8">
      <c r="A272" s="18">
        <v>28</v>
      </c>
      <c r="B272" s="18" t="s">
        <v>369</v>
      </c>
      <c r="C272" s="24" t="s">
        <v>364</v>
      </c>
      <c r="D272" s="25">
        <v>0.37378054857254028</v>
      </c>
      <c r="E272" s="23">
        <v>0.32044321298599238</v>
      </c>
      <c r="F272" s="23">
        <v>0.33383360505104059</v>
      </c>
      <c r="G272" s="23">
        <v>0.35763955116271973</v>
      </c>
      <c r="H272" s="23">
        <v>0.37378054857254028</v>
      </c>
    </row>
    <row r="273" spans="1:8">
      <c r="A273" s="18">
        <v>32</v>
      </c>
      <c r="B273" s="18" t="s">
        <v>370</v>
      </c>
      <c r="C273" s="24" t="s">
        <v>364</v>
      </c>
      <c r="D273" s="25">
        <v>0.34780246019363398</v>
      </c>
      <c r="E273" s="23">
        <v>0.25820046663284302</v>
      </c>
      <c r="F273" s="23">
        <v>0.2244584709405899</v>
      </c>
      <c r="G273" s="23">
        <v>0.34780246019363398</v>
      </c>
      <c r="H273" s="23">
        <v>0.26160421967506409</v>
      </c>
    </row>
  </sheetData>
  <phoneticPr fontId="3" type="noConversion"/>
  <conditionalFormatting sqref="A2:H1000">
    <cfRule type="expression" dxfId="15" priority="21">
      <formula>$C2="Ethical"</formula>
    </cfRule>
    <cfRule type="expression" dxfId="14" priority="22">
      <formula>$C2="Cognitive"</formula>
    </cfRule>
    <cfRule type="expression" dxfId="13" priority="23">
      <formula>$C2="Behavioural"</formula>
    </cfRule>
    <cfRule type="expression" dxfId="12" priority="24">
      <formula>$C2="Affective"</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B2034-A829-4810-80F8-4B74FDA09987}">
  <sheetPr>
    <tabColor rgb="FFFFFF00"/>
  </sheetPr>
  <dimension ref="A1:B17"/>
  <sheetViews>
    <sheetView workbookViewId="0">
      <selection activeCell="A20" sqref="A20"/>
    </sheetView>
  </sheetViews>
  <sheetFormatPr defaultColWidth="8.59765625" defaultRowHeight="13.2"/>
  <cols>
    <col min="1" max="1" width="22.19921875" style="14" bestFit="1" customWidth="1"/>
    <col min="2" max="2" width="20.59765625" style="14" bestFit="1" customWidth="1"/>
    <col min="3" max="16384" width="8.59765625" style="14"/>
  </cols>
  <sheetData>
    <row r="1" spans="1:2">
      <c r="A1" s="1" t="s">
        <v>0</v>
      </c>
      <c r="B1" s="1" t="s">
        <v>1</v>
      </c>
    </row>
    <row r="2" spans="1:2">
      <c r="A2" s="6" t="s">
        <v>371</v>
      </c>
      <c r="B2" s="6" t="s">
        <v>372</v>
      </c>
    </row>
    <row r="3" spans="1:2">
      <c r="A3" s="6" t="s">
        <v>371</v>
      </c>
      <c r="B3" s="6" t="s">
        <v>373</v>
      </c>
    </row>
    <row r="4" spans="1:2">
      <c r="A4" s="6" t="s">
        <v>371</v>
      </c>
      <c r="B4" s="6" t="s">
        <v>374</v>
      </c>
    </row>
    <row r="5" spans="1:2">
      <c r="A5" s="6" t="s">
        <v>371</v>
      </c>
      <c r="B5" s="6" t="s">
        <v>375</v>
      </c>
    </row>
    <row r="6" spans="1:2">
      <c r="A6" s="6" t="s">
        <v>376</v>
      </c>
      <c r="B6" s="6" t="s">
        <v>377</v>
      </c>
    </row>
    <row r="7" spans="1:2">
      <c r="A7" s="6" t="s">
        <v>376</v>
      </c>
      <c r="B7" s="6" t="s">
        <v>378</v>
      </c>
    </row>
    <row r="8" spans="1:2">
      <c r="A8" s="6" t="s">
        <v>376</v>
      </c>
      <c r="B8" s="6" t="s">
        <v>379</v>
      </c>
    </row>
    <row r="9" spans="1:2">
      <c r="A9" s="6" t="s">
        <v>376</v>
      </c>
      <c r="B9" s="6" t="s">
        <v>380</v>
      </c>
    </row>
    <row r="10" spans="1:2">
      <c r="A10" s="6" t="s">
        <v>381</v>
      </c>
      <c r="B10" s="6" t="s">
        <v>382</v>
      </c>
    </row>
    <row r="11" spans="1:2">
      <c r="A11" s="6" t="s">
        <v>381</v>
      </c>
      <c r="B11" s="6" t="s">
        <v>383</v>
      </c>
    </row>
    <row r="12" spans="1:2">
      <c r="A12" s="6" t="s">
        <v>381</v>
      </c>
      <c r="B12" s="6" t="s">
        <v>384</v>
      </c>
    </row>
    <row r="13" spans="1:2">
      <c r="A13" s="6" t="s">
        <v>381</v>
      </c>
      <c r="B13" s="6" t="s">
        <v>385</v>
      </c>
    </row>
    <row r="14" spans="1:2">
      <c r="A14" s="6" t="s">
        <v>386</v>
      </c>
      <c r="B14" s="6" t="s">
        <v>387</v>
      </c>
    </row>
    <row r="15" spans="1:2">
      <c r="A15" s="6" t="s">
        <v>386</v>
      </c>
      <c r="B15" s="6" t="s">
        <v>388</v>
      </c>
    </row>
    <row r="16" spans="1:2">
      <c r="A16" s="6" t="s">
        <v>386</v>
      </c>
      <c r="B16" s="6" t="s">
        <v>389</v>
      </c>
    </row>
    <row r="17" spans="1:2">
      <c r="A17" s="6" t="s">
        <v>386</v>
      </c>
      <c r="B17" s="6" t="s">
        <v>390</v>
      </c>
    </row>
  </sheetData>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483E7-A8A6-4154-9581-3CD79921687A}">
  <sheetPr>
    <tabColor rgb="FFFFFF00"/>
  </sheetPr>
  <dimension ref="A1:H273"/>
  <sheetViews>
    <sheetView topLeftCell="A71" workbookViewId="0">
      <selection activeCell="D91" sqref="D91"/>
    </sheetView>
  </sheetViews>
  <sheetFormatPr defaultColWidth="8.59765625" defaultRowHeight="13.2"/>
  <cols>
    <col min="1" max="1" width="8.69921875" style="2" customWidth="1"/>
    <col min="2" max="2" width="53.19921875" style="2" customWidth="1"/>
    <col min="3" max="4" width="15.69921875" style="28" customWidth="1"/>
    <col min="5" max="8" width="18.19921875" style="17" customWidth="1"/>
    <col min="9" max="16384" width="8.59765625" style="2"/>
  </cols>
  <sheetData>
    <row r="1" spans="1:8">
      <c r="A1" s="4" t="s">
        <v>463</v>
      </c>
      <c r="B1" s="4" t="s">
        <v>1</v>
      </c>
      <c r="C1" s="15" t="s">
        <v>118</v>
      </c>
      <c r="D1" s="15" t="s">
        <v>119</v>
      </c>
      <c r="E1" s="15" t="s">
        <v>391</v>
      </c>
      <c r="F1" s="15" t="s">
        <v>392</v>
      </c>
      <c r="G1" s="15" t="s">
        <v>393</v>
      </c>
      <c r="H1" s="15" t="s">
        <v>394</v>
      </c>
    </row>
    <row r="2" spans="1:8">
      <c r="A2" s="5">
        <v>36</v>
      </c>
      <c r="B2" s="5" t="s">
        <v>187</v>
      </c>
      <c r="C2" s="27" t="s">
        <v>395</v>
      </c>
      <c r="D2" s="27">
        <v>0.4549294114112854</v>
      </c>
      <c r="E2" s="16">
        <v>0.37886738777160639</v>
      </c>
      <c r="F2" s="16">
        <v>0.32314556837081909</v>
      </c>
      <c r="G2" s="16">
        <v>0.32386383414268488</v>
      </c>
      <c r="H2" s="16">
        <v>0.4549294114112854</v>
      </c>
    </row>
    <row r="3" spans="1:8">
      <c r="A3" s="5">
        <v>35</v>
      </c>
      <c r="B3" s="5" t="s">
        <v>142</v>
      </c>
      <c r="C3" s="27" t="s">
        <v>395</v>
      </c>
      <c r="D3" s="27">
        <v>0.40517127513885498</v>
      </c>
      <c r="E3" s="16">
        <v>0.31855159997940058</v>
      </c>
      <c r="F3" s="16">
        <v>0.24263948202133179</v>
      </c>
      <c r="G3" s="16">
        <v>0.27832424640655518</v>
      </c>
      <c r="H3" s="16">
        <v>0.40517127513885498</v>
      </c>
    </row>
    <row r="4" spans="1:8">
      <c r="A4" s="5">
        <v>27</v>
      </c>
      <c r="B4" s="5" t="s">
        <v>195</v>
      </c>
      <c r="C4" s="27" t="s">
        <v>395</v>
      </c>
      <c r="D4" s="27">
        <v>0.57273960113525391</v>
      </c>
      <c r="E4" s="16">
        <v>0.48907116055488592</v>
      </c>
      <c r="F4" s="16">
        <v>0.50067216157913208</v>
      </c>
      <c r="G4" s="16">
        <v>0.56465482711791992</v>
      </c>
      <c r="H4" s="16">
        <v>0.57273960113525391</v>
      </c>
    </row>
    <row r="5" spans="1:8">
      <c r="A5" s="5">
        <v>22</v>
      </c>
      <c r="B5" s="5" t="s">
        <v>299</v>
      </c>
      <c r="C5" s="27" t="s">
        <v>395</v>
      </c>
      <c r="D5" s="27">
        <v>0.82615232467651367</v>
      </c>
      <c r="E5" s="16">
        <v>0.32900559902191162</v>
      </c>
      <c r="F5" s="16">
        <v>0.54171943664550781</v>
      </c>
      <c r="G5" s="16">
        <v>0.65535181760787964</v>
      </c>
      <c r="H5" s="16">
        <v>0.82615232467651367</v>
      </c>
    </row>
    <row r="6" spans="1:8">
      <c r="A6" s="5">
        <v>38</v>
      </c>
      <c r="B6" s="5" t="s">
        <v>244</v>
      </c>
      <c r="C6" s="27" t="s">
        <v>395</v>
      </c>
      <c r="D6" s="27">
        <v>0.53933250904083252</v>
      </c>
      <c r="E6" s="16">
        <v>0.34058487415313721</v>
      </c>
      <c r="F6" s="16">
        <v>0.36553025245666498</v>
      </c>
      <c r="G6" s="16">
        <v>0.42572912573814392</v>
      </c>
      <c r="H6" s="16">
        <v>0.53933250904083252</v>
      </c>
    </row>
    <row r="7" spans="1:8">
      <c r="A7" s="5">
        <v>36</v>
      </c>
      <c r="B7" s="5" t="s">
        <v>311</v>
      </c>
      <c r="C7" s="27" t="s">
        <v>395</v>
      </c>
      <c r="D7" s="27">
        <v>0.44125226140022278</v>
      </c>
      <c r="E7" s="16">
        <v>0.41294515132904053</v>
      </c>
      <c r="F7" s="16">
        <v>0.30619210004806519</v>
      </c>
      <c r="G7" s="16">
        <v>0.37026500701904302</v>
      </c>
      <c r="H7" s="16">
        <v>0.44125226140022278</v>
      </c>
    </row>
    <row r="8" spans="1:8">
      <c r="A8" s="5">
        <v>4</v>
      </c>
      <c r="B8" s="5" t="s">
        <v>289</v>
      </c>
      <c r="C8" s="27" t="s">
        <v>395</v>
      </c>
      <c r="D8" s="27">
        <v>0.5086713433265686</v>
      </c>
      <c r="E8" s="16">
        <v>0.2854301929473877</v>
      </c>
      <c r="F8" s="16">
        <v>0.3206254243850708</v>
      </c>
      <c r="G8" s="16">
        <v>0.38931676745414728</v>
      </c>
      <c r="H8" s="16">
        <v>0.5086713433265686</v>
      </c>
    </row>
    <row r="9" spans="1:8">
      <c r="A9" s="5">
        <v>36</v>
      </c>
      <c r="B9" s="5" t="s">
        <v>361</v>
      </c>
      <c r="C9" s="27" t="s">
        <v>395</v>
      </c>
      <c r="D9" s="27">
        <v>0.76348394155502319</v>
      </c>
      <c r="E9" s="16">
        <v>0.34554630517959589</v>
      </c>
      <c r="F9" s="16">
        <v>0.56387853622436523</v>
      </c>
      <c r="G9" s="16">
        <v>0.35373121500015259</v>
      </c>
      <c r="H9" s="16">
        <v>0.76348394155502319</v>
      </c>
    </row>
    <row r="10" spans="1:8">
      <c r="A10" s="5">
        <v>22</v>
      </c>
      <c r="B10" s="5" t="s">
        <v>346</v>
      </c>
      <c r="C10" s="27" t="s">
        <v>395</v>
      </c>
      <c r="D10" s="27">
        <v>0.45617538690567022</v>
      </c>
      <c r="E10" s="16">
        <v>0.26348906755447388</v>
      </c>
      <c r="F10" s="16">
        <v>0.3277478814125061</v>
      </c>
      <c r="G10" s="16">
        <v>0.33913058042526251</v>
      </c>
      <c r="H10" s="16">
        <v>0.45617538690567022</v>
      </c>
    </row>
    <row r="11" spans="1:8">
      <c r="A11" s="5">
        <v>22</v>
      </c>
      <c r="B11" s="5" t="s">
        <v>185</v>
      </c>
      <c r="C11" s="27" t="s">
        <v>395</v>
      </c>
      <c r="D11" s="27">
        <v>0.44880169630050659</v>
      </c>
      <c r="E11" s="16">
        <v>0.2127070277929306</v>
      </c>
      <c r="F11" s="16">
        <v>0.31777775287628168</v>
      </c>
      <c r="G11" s="16">
        <v>0.40163964033126831</v>
      </c>
      <c r="H11" s="16">
        <v>0.44880169630050659</v>
      </c>
    </row>
    <row r="12" spans="1:8">
      <c r="A12" s="5">
        <v>13</v>
      </c>
      <c r="B12" s="5" t="s">
        <v>58</v>
      </c>
      <c r="C12" s="27" t="s">
        <v>395</v>
      </c>
      <c r="D12" s="27">
        <v>0.48099589347839361</v>
      </c>
      <c r="E12" s="16">
        <v>0.29305547475814819</v>
      </c>
      <c r="F12" s="16">
        <v>0.39536762237548828</v>
      </c>
      <c r="G12" s="16">
        <v>0.39880985021591192</v>
      </c>
      <c r="H12" s="16">
        <v>0.48099589347839361</v>
      </c>
    </row>
    <row r="13" spans="1:8">
      <c r="A13" s="5">
        <v>32</v>
      </c>
      <c r="B13" s="5" t="s">
        <v>235</v>
      </c>
      <c r="C13" s="27" t="s">
        <v>395</v>
      </c>
      <c r="D13" s="27">
        <v>0.54167342185974121</v>
      </c>
      <c r="E13" s="16">
        <v>0.42212453484535217</v>
      </c>
      <c r="F13" s="16">
        <v>0.46294668316841131</v>
      </c>
      <c r="G13" s="16">
        <v>0.47740718722343439</v>
      </c>
      <c r="H13" s="16">
        <v>0.54167342185974121</v>
      </c>
    </row>
    <row r="14" spans="1:8">
      <c r="A14" s="5">
        <v>32</v>
      </c>
      <c r="B14" s="5" t="s">
        <v>235</v>
      </c>
      <c r="C14" s="27" t="s">
        <v>395</v>
      </c>
      <c r="D14" s="27">
        <v>0.54167342185974121</v>
      </c>
      <c r="E14" s="16">
        <v>0.42212453484535217</v>
      </c>
      <c r="F14" s="16">
        <v>0.46294668316841131</v>
      </c>
      <c r="G14" s="16">
        <v>0.47740718722343439</v>
      </c>
      <c r="H14" s="16">
        <v>0.54167342185974121</v>
      </c>
    </row>
    <row r="15" spans="1:8">
      <c r="A15" s="5">
        <v>18</v>
      </c>
      <c r="B15" s="5" t="s">
        <v>279</v>
      </c>
      <c r="C15" s="27" t="s">
        <v>395</v>
      </c>
      <c r="D15" s="27">
        <v>0.56910049915313721</v>
      </c>
      <c r="E15" s="16">
        <v>0.37291300296783447</v>
      </c>
      <c r="F15" s="16">
        <v>0.36196714639663702</v>
      </c>
      <c r="G15" s="16">
        <v>0.41609656810760498</v>
      </c>
      <c r="H15" s="16">
        <v>0.56910049915313721</v>
      </c>
    </row>
    <row r="16" spans="1:8">
      <c r="A16" s="5">
        <v>35</v>
      </c>
      <c r="B16" s="5" t="s">
        <v>317</v>
      </c>
      <c r="C16" s="27" t="s">
        <v>395</v>
      </c>
      <c r="D16" s="27">
        <v>0.46615198254585272</v>
      </c>
      <c r="E16" s="16">
        <v>0.40651378035545349</v>
      </c>
      <c r="F16" s="16">
        <v>0.44111260771751398</v>
      </c>
      <c r="G16" s="16">
        <v>0.33619236946105963</v>
      </c>
      <c r="H16" s="16">
        <v>0.46615198254585272</v>
      </c>
    </row>
    <row r="17" spans="1:8">
      <c r="A17" s="5">
        <v>32</v>
      </c>
      <c r="B17" s="5" t="s">
        <v>262</v>
      </c>
      <c r="C17" s="27" t="s">
        <v>395</v>
      </c>
      <c r="D17" s="27">
        <v>0.48999935388565058</v>
      </c>
      <c r="E17" s="16">
        <v>0.1952790021896362</v>
      </c>
      <c r="F17" s="16">
        <v>0.28984123468399048</v>
      </c>
      <c r="G17" s="16">
        <v>0.47033286094665527</v>
      </c>
      <c r="H17" s="16">
        <v>0.48999935388565058</v>
      </c>
    </row>
    <row r="18" spans="1:8">
      <c r="A18" s="5">
        <v>20</v>
      </c>
      <c r="B18" s="5" t="s">
        <v>354</v>
      </c>
      <c r="C18" s="27" t="s">
        <v>395</v>
      </c>
      <c r="D18" s="27">
        <v>0.60241091251373291</v>
      </c>
      <c r="E18" s="16">
        <v>0.48465731739997858</v>
      </c>
      <c r="F18" s="16">
        <v>0.55397427082061768</v>
      </c>
      <c r="G18" s="16">
        <v>0.5433499813079834</v>
      </c>
      <c r="H18" s="16">
        <v>0.60241091251373291</v>
      </c>
    </row>
    <row r="19" spans="1:8">
      <c r="A19" s="5">
        <v>5</v>
      </c>
      <c r="B19" s="5" t="s">
        <v>203</v>
      </c>
      <c r="C19" s="27" t="s">
        <v>395</v>
      </c>
      <c r="D19" s="27">
        <v>0.70527267456054688</v>
      </c>
      <c r="E19" s="16">
        <v>0.1983497142791748</v>
      </c>
      <c r="F19" s="16">
        <v>0.2140032947063446</v>
      </c>
      <c r="G19" s="16">
        <v>0.31821757555007929</v>
      </c>
      <c r="H19" s="16">
        <v>0.70527267456054688</v>
      </c>
    </row>
    <row r="20" spans="1:8">
      <c r="A20" s="5">
        <v>29</v>
      </c>
      <c r="B20" s="5" t="s">
        <v>203</v>
      </c>
      <c r="C20" s="27" t="s">
        <v>395</v>
      </c>
      <c r="D20" s="27">
        <v>0.70527267456054688</v>
      </c>
      <c r="E20" s="16">
        <v>0.1983497142791748</v>
      </c>
      <c r="F20" s="16">
        <v>0.2140032947063446</v>
      </c>
      <c r="G20" s="16">
        <v>0.31821757555007929</v>
      </c>
      <c r="H20" s="16">
        <v>0.70527267456054688</v>
      </c>
    </row>
    <row r="21" spans="1:8">
      <c r="A21" s="5">
        <v>19</v>
      </c>
      <c r="B21" s="5" t="s">
        <v>214</v>
      </c>
      <c r="C21" s="27" t="s">
        <v>395</v>
      </c>
      <c r="D21" s="27">
        <v>0.69110894203186035</v>
      </c>
      <c r="E21" s="16">
        <v>0.25300291180610662</v>
      </c>
      <c r="F21" s="16">
        <v>0.42565160989761353</v>
      </c>
      <c r="G21" s="16">
        <v>0.42336678504943848</v>
      </c>
      <c r="H21" s="16">
        <v>0.69110894203186035</v>
      </c>
    </row>
    <row r="22" spans="1:8">
      <c r="A22" s="5">
        <v>19</v>
      </c>
      <c r="B22" s="5" t="s">
        <v>136</v>
      </c>
      <c r="C22" s="27" t="s">
        <v>395</v>
      </c>
      <c r="D22" s="27">
        <v>0.46045359969139099</v>
      </c>
      <c r="E22" s="16">
        <v>0.22381441295146939</v>
      </c>
      <c r="F22" s="16">
        <v>0.25361746549606318</v>
      </c>
      <c r="G22" s="16">
        <v>0.41055485606193542</v>
      </c>
      <c r="H22" s="16">
        <v>0.46045359969139099</v>
      </c>
    </row>
    <row r="23" spans="1:8">
      <c r="A23" s="5">
        <v>19</v>
      </c>
      <c r="B23" s="5" t="s">
        <v>363</v>
      </c>
      <c r="C23" s="27" t="s">
        <v>395</v>
      </c>
      <c r="D23" s="27">
        <v>0.46692541241645807</v>
      </c>
      <c r="E23" s="16">
        <v>0.22045876085758209</v>
      </c>
      <c r="F23" s="16">
        <v>0.41496101021766663</v>
      </c>
      <c r="G23" s="16">
        <v>0.40102088451385498</v>
      </c>
      <c r="H23" s="16">
        <v>0.46692541241645807</v>
      </c>
    </row>
    <row r="24" spans="1:8">
      <c r="A24" s="5">
        <v>25</v>
      </c>
      <c r="B24" s="5" t="s">
        <v>334</v>
      </c>
      <c r="C24" s="27" t="s">
        <v>395</v>
      </c>
      <c r="D24" s="27">
        <v>0.48160815238952642</v>
      </c>
      <c r="E24" s="16">
        <v>0.30219760537147522</v>
      </c>
      <c r="F24" s="16">
        <v>0.34347188472747803</v>
      </c>
      <c r="G24" s="16">
        <v>0.44552987813949579</v>
      </c>
      <c r="H24" s="16">
        <v>0.48160815238952642</v>
      </c>
    </row>
    <row r="25" spans="1:8">
      <c r="A25" s="5">
        <v>38</v>
      </c>
      <c r="B25" s="5" t="s">
        <v>172</v>
      </c>
      <c r="C25" s="27" t="s">
        <v>395</v>
      </c>
      <c r="D25" s="27">
        <v>0.41468614339828491</v>
      </c>
      <c r="E25" s="16">
        <v>0.38729706406593323</v>
      </c>
      <c r="F25" s="16">
        <v>0.19282574951648709</v>
      </c>
      <c r="G25" s="16">
        <v>0.2791520357131958</v>
      </c>
      <c r="H25" s="16">
        <v>0.41468614339828491</v>
      </c>
    </row>
    <row r="26" spans="1:8">
      <c r="A26" s="5">
        <v>8</v>
      </c>
      <c r="B26" s="5" t="s">
        <v>323</v>
      </c>
      <c r="C26" s="27" t="s">
        <v>395</v>
      </c>
      <c r="D26" s="27">
        <v>0.50691664218902588</v>
      </c>
      <c r="E26" s="16">
        <v>0.35317793488502502</v>
      </c>
      <c r="F26" s="16">
        <v>0.37104129791259771</v>
      </c>
      <c r="G26" s="16">
        <v>0.47796431183815002</v>
      </c>
      <c r="H26" s="16">
        <v>0.50691664218902588</v>
      </c>
    </row>
    <row r="27" spans="1:8">
      <c r="A27" s="5">
        <v>17</v>
      </c>
      <c r="B27" s="5" t="s">
        <v>292</v>
      </c>
      <c r="C27" s="27" t="s">
        <v>395</v>
      </c>
      <c r="D27" s="27">
        <v>0.42755270004272461</v>
      </c>
      <c r="E27" s="16">
        <v>0.27004581689834589</v>
      </c>
      <c r="F27" s="16">
        <v>0.32018095254898071</v>
      </c>
      <c r="G27" s="16">
        <v>0.24304249882698059</v>
      </c>
      <c r="H27" s="16">
        <v>0.42755270004272461</v>
      </c>
    </row>
    <row r="28" spans="1:8">
      <c r="A28" s="5">
        <v>16</v>
      </c>
      <c r="B28" s="5" t="s">
        <v>211</v>
      </c>
      <c r="C28" s="27" t="s">
        <v>395</v>
      </c>
      <c r="D28" s="27">
        <v>0.72407513856887817</v>
      </c>
      <c r="E28" s="16">
        <v>0.35065311193466192</v>
      </c>
      <c r="F28" s="16">
        <v>0.56463736295700073</v>
      </c>
      <c r="G28" s="16">
        <v>0.71725910902023315</v>
      </c>
      <c r="H28" s="16">
        <v>0.72407513856887817</v>
      </c>
    </row>
    <row r="29" spans="1:8">
      <c r="A29" s="5">
        <v>2</v>
      </c>
      <c r="B29" s="5" t="s">
        <v>319</v>
      </c>
      <c r="C29" s="27" t="s">
        <v>381</v>
      </c>
      <c r="D29" s="27">
        <v>0.51774322986602783</v>
      </c>
      <c r="E29" s="16">
        <v>0.47395062446594238</v>
      </c>
      <c r="F29" s="16">
        <v>0.48221847414970398</v>
      </c>
      <c r="G29" s="16">
        <v>0.51774322986602783</v>
      </c>
      <c r="H29" s="16">
        <v>0.35070562362670898</v>
      </c>
    </row>
    <row r="30" spans="1:8">
      <c r="A30" s="5">
        <v>37</v>
      </c>
      <c r="B30" s="5" t="s">
        <v>267</v>
      </c>
      <c r="C30" s="27" t="s">
        <v>381</v>
      </c>
      <c r="D30" s="27">
        <v>0.73542022705078125</v>
      </c>
      <c r="E30" s="16">
        <v>0.42565372586250311</v>
      </c>
      <c r="F30" s="16">
        <v>0.61818432807922363</v>
      </c>
      <c r="G30" s="16">
        <v>0.73542022705078125</v>
      </c>
      <c r="H30" s="16">
        <v>0.6688539981842041</v>
      </c>
    </row>
    <row r="31" spans="1:8">
      <c r="A31" s="5">
        <v>39</v>
      </c>
      <c r="B31" s="5" t="s">
        <v>271</v>
      </c>
      <c r="C31" s="27" t="s">
        <v>381</v>
      </c>
      <c r="D31" s="27">
        <v>0.48967283964157099</v>
      </c>
      <c r="E31" s="16">
        <v>0.25901710987091059</v>
      </c>
      <c r="F31" s="16">
        <v>0.22191692888736719</v>
      </c>
      <c r="G31" s="16">
        <v>0.48967283964157099</v>
      </c>
      <c r="H31" s="16">
        <v>0.18065768480300901</v>
      </c>
    </row>
    <row r="32" spans="1:8">
      <c r="A32" s="5">
        <v>8</v>
      </c>
      <c r="B32" s="5" t="s">
        <v>133</v>
      </c>
      <c r="C32" s="27" t="s">
        <v>381</v>
      </c>
      <c r="D32" s="27">
        <v>0.57746696472167969</v>
      </c>
      <c r="E32" s="16">
        <v>0.42742955684661871</v>
      </c>
      <c r="F32" s="16">
        <v>0.47241747379302979</v>
      </c>
      <c r="G32" s="16">
        <v>0.57746696472167969</v>
      </c>
      <c r="H32" s="16">
        <v>0.26871335506439209</v>
      </c>
    </row>
    <row r="33" spans="1:8">
      <c r="A33" s="5">
        <v>8</v>
      </c>
      <c r="B33" s="5" t="s">
        <v>275</v>
      </c>
      <c r="C33" s="27" t="s">
        <v>381</v>
      </c>
      <c r="D33" s="27">
        <v>0.83254754543304443</v>
      </c>
      <c r="E33" s="16">
        <v>0.37349525094032288</v>
      </c>
      <c r="F33" s="16">
        <v>0.52930998802185059</v>
      </c>
      <c r="G33" s="16">
        <v>0.83254754543304443</v>
      </c>
      <c r="H33" s="16">
        <v>0.73948049545288086</v>
      </c>
    </row>
    <row r="34" spans="1:8">
      <c r="A34" s="5">
        <v>32</v>
      </c>
      <c r="B34" s="5" t="s">
        <v>196</v>
      </c>
      <c r="C34" s="27" t="s">
        <v>381</v>
      </c>
      <c r="D34" s="27">
        <v>0.4919552206993103</v>
      </c>
      <c r="E34" s="16">
        <v>0.46658188104629522</v>
      </c>
      <c r="F34" s="16">
        <v>0.48839035630226141</v>
      </c>
      <c r="G34" s="16">
        <v>0.4919552206993103</v>
      </c>
      <c r="H34" s="16">
        <v>0.29703524708747858</v>
      </c>
    </row>
    <row r="35" spans="1:8">
      <c r="A35" s="5">
        <v>26</v>
      </c>
      <c r="B35" s="5" t="s">
        <v>301</v>
      </c>
      <c r="C35" s="27" t="s">
        <v>381</v>
      </c>
      <c r="D35" s="27">
        <v>0.49133539199829102</v>
      </c>
      <c r="E35" s="16">
        <v>0.42500874400138849</v>
      </c>
      <c r="F35" s="16">
        <v>0.38800022006034851</v>
      </c>
      <c r="G35" s="16">
        <v>0.49133539199829102</v>
      </c>
      <c r="H35" s="16">
        <v>0.2910027801990509</v>
      </c>
    </row>
    <row r="36" spans="1:8">
      <c r="A36" s="5">
        <v>7</v>
      </c>
      <c r="B36" s="5" t="s">
        <v>205</v>
      </c>
      <c r="C36" s="27" t="s">
        <v>381</v>
      </c>
      <c r="D36" s="27">
        <v>0.62630105018615723</v>
      </c>
      <c r="E36" s="16">
        <v>0.24055178463459009</v>
      </c>
      <c r="F36" s="16">
        <v>0.40539297461509699</v>
      </c>
      <c r="G36" s="16">
        <v>0.62630105018615723</v>
      </c>
      <c r="H36" s="16">
        <v>0.47773325443267822</v>
      </c>
    </row>
    <row r="37" spans="1:8">
      <c r="A37" s="5">
        <v>21</v>
      </c>
      <c r="B37" s="5" t="s">
        <v>296</v>
      </c>
      <c r="C37" s="27" t="s">
        <v>381</v>
      </c>
      <c r="D37" s="27">
        <v>0.57613611221313477</v>
      </c>
      <c r="E37" s="16">
        <v>0.45354372262954712</v>
      </c>
      <c r="F37" s="16">
        <v>0.39735311269760132</v>
      </c>
      <c r="G37" s="16">
        <v>0.57613611221313477</v>
      </c>
      <c r="H37" s="16">
        <v>0.48924824595451349</v>
      </c>
    </row>
    <row r="38" spans="1:8">
      <c r="A38" s="5">
        <v>26</v>
      </c>
      <c r="B38" s="5" t="s">
        <v>300</v>
      </c>
      <c r="C38" s="27" t="s">
        <v>381</v>
      </c>
      <c r="D38" s="27">
        <v>0.72889351844787598</v>
      </c>
      <c r="E38" s="16">
        <v>0.35795331001281738</v>
      </c>
      <c r="F38" s="16">
        <v>0.44490715861320501</v>
      </c>
      <c r="G38" s="16">
        <v>0.72889351844787598</v>
      </c>
      <c r="H38" s="16">
        <v>0.68983173370361328</v>
      </c>
    </row>
    <row r="39" spans="1:8">
      <c r="A39" s="5">
        <v>5</v>
      </c>
      <c r="B39" s="5" t="s">
        <v>202</v>
      </c>
      <c r="C39" s="27" t="s">
        <v>381</v>
      </c>
      <c r="D39" s="27">
        <v>0.78075599670410156</v>
      </c>
      <c r="E39" s="16">
        <v>0.28047683835029602</v>
      </c>
      <c r="F39" s="16">
        <v>0.35594382882118231</v>
      </c>
      <c r="G39" s="16">
        <v>0.78075599670410156</v>
      </c>
      <c r="H39" s="16">
        <v>0.75621336698532104</v>
      </c>
    </row>
    <row r="40" spans="1:8">
      <c r="A40" s="5">
        <v>26</v>
      </c>
      <c r="B40" s="5" t="s">
        <v>158</v>
      </c>
      <c r="C40" s="27" t="s">
        <v>381</v>
      </c>
      <c r="D40" s="27">
        <v>0.5698235034942627</v>
      </c>
      <c r="E40" s="16">
        <v>0.27888929843902588</v>
      </c>
      <c r="F40" s="16">
        <v>0.47156816720962519</v>
      </c>
      <c r="G40" s="16">
        <v>0.5698235034942627</v>
      </c>
      <c r="H40" s="16">
        <v>0.49636507034301758</v>
      </c>
    </row>
    <row r="41" spans="1:8">
      <c r="A41" s="5">
        <v>27</v>
      </c>
      <c r="B41" s="5" t="s">
        <v>302</v>
      </c>
      <c r="C41" s="27" t="s">
        <v>381</v>
      </c>
      <c r="D41" s="27">
        <v>0.75350719690322876</v>
      </c>
      <c r="E41" s="16">
        <v>0.37040168046951288</v>
      </c>
      <c r="F41" s="16">
        <v>0.49540272355079651</v>
      </c>
      <c r="G41" s="16">
        <v>0.75350719690322876</v>
      </c>
      <c r="H41" s="16">
        <v>0.72070378065109253</v>
      </c>
    </row>
    <row r="42" spans="1:8">
      <c r="A42" s="5">
        <v>33</v>
      </c>
      <c r="B42" s="5" t="s">
        <v>306</v>
      </c>
      <c r="C42" s="27" t="s">
        <v>381</v>
      </c>
      <c r="D42" s="27">
        <v>0.65883100032806396</v>
      </c>
      <c r="E42" s="16">
        <v>0.41106382012367249</v>
      </c>
      <c r="F42" s="16">
        <v>0.45110493898391718</v>
      </c>
      <c r="G42" s="16">
        <v>0.65883100032806396</v>
      </c>
      <c r="H42" s="16">
        <v>0.3010355532169342</v>
      </c>
    </row>
    <row r="43" spans="1:8">
      <c r="A43" s="5">
        <v>21</v>
      </c>
      <c r="B43" s="5" t="s">
        <v>298</v>
      </c>
      <c r="C43" s="27" t="s">
        <v>381</v>
      </c>
      <c r="D43" s="27">
        <v>0.52271687984466553</v>
      </c>
      <c r="E43" s="16">
        <v>0.26250630617141718</v>
      </c>
      <c r="F43" s="16">
        <v>0.50425302982330322</v>
      </c>
      <c r="G43" s="16">
        <v>0.52271687984466553</v>
      </c>
      <c r="H43" s="16">
        <v>0.50058108568191528</v>
      </c>
    </row>
    <row r="44" spans="1:8">
      <c r="A44" s="5">
        <v>28</v>
      </c>
      <c r="B44" s="5" t="s">
        <v>303</v>
      </c>
      <c r="C44" s="27" t="s">
        <v>381</v>
      </c>
      <c r="D44" s="27">
        <v>0.82046574354171753</v>
      </c>
      <c r="E44" s="16">
        <v>0.29514572024345398</v>
      </c>
      <c r="F44" s="16">
        <v>0.43309611082077032</v>
      </c>
      <c r="G44" s="16">
        <v>0.82046574354171753</v>
      </c>
      <c r="H44" s="16">
        <v>0.73726958036422729</v>
      </c>
    </row>
    <row r="45" spans="1:8">
      <c r="A45" s="5">
        <v>31</v>
      </c>
      <c r="B45" s="5" t="s">
        <v>305</v>
      </c>
      <c r="C45" s="27" t="s">
        <v>381</v>
      </c>
      <c r="D45" s="27">
        <v>0.67122673988342285</v>
      </c>
      <c r="E45" s="16">
        <v>0.4163394570350647</v>
      </c>
      <c r="F45" s="16">
        <v>0.55850636959075928</v>
      </c>
      <c r="G45" s="16">
        <v>0.67122673988342285</v>
      </c>
      <c r="H45" s="16">
        <v>0.45654374361038208</v>
      </c>
    </row>
    <row r="46" spans="1:8">
      <c r="A46" s="5">
        <v>28</v>
      </c>
      <c r="B46" s="5" t="s">
        <v>304</v>
      </c>
      <c r="C46" s="27" t="s">
        <v>381</v>
      </c>
      <c r="D46" s="27">
        <v>0.46747994422912598</v>
      </c>
      <c r="E46" s="16">
        <v>0.23209793865680689</v>
      </c>
      <c r="F46" s="16">
        <v>0.41022199392318731</v>
      </c>
      <c r="G46" s="16">
        <v>0.46747994422912598</v>
      </c>
      <c r="H46" s="16">
        <v>0.45508566498756409</v>
      </c>
    </row>
    <row r="47" spans="1:8">
      <c r="A47" s="5">
        <v>33</v>
      </c>
      <c r="B47" s="5" t="s">
        <v>263</v>
      </c>
      <c r="C47" s="27" t="s">
        <v>381</v>
      </c>
      <c r="D47" s="27">
        <v>0.49017301201820368</v>
      </c>
      <c r="E47" s="16">
        <v>0.36277809739112848</v>
      </c>
      <c r="F47" s="16">
        <v>0.42509204149246221</v>
      </c>
      <c r="G47" s="16">
        <v>0.49017301201820368</v>
      </c>
      <c r="H47" s="16">
        <v>0.4115867018699646</v>
      </c>
    </row>
    <row r="48" spans="1:8">
      <c r="A48" s="5">
        <v>34</v>
      </c>
      <c r="B48" s="5" t="s">
        <v>264</v>
      </c>
      <c r="C48" s="27" t="s">
        <v>381</v>
      </c>
      <c r="D48" s="27">
        <v>0.45992434024810791</v>
      </c>
      <c r="E48" s="16">
        <v>0.37480515241622919</v>
      </c>
      <c r="F48" s="16">
        <v>0.42465919256210333</v>
      </c>
      <c r="G48" s="16">
        <v>0.45992434024810791</v>
      </c>
      <c r="H48" s="16">
        <v>0.29712241888046259</v>
      </c>
    </row>
    <row r="49" spans="1:8">
      <c r="A49" s="5">
        <v>33</v>
      </c>
      <c r="B49" s="5" t="s">
        <v>308</v>
      </c>
      <c r="C49" s="27" t="s">
        <v>381</v>
      </c>
      <c r="D49" s="27">
        <v>0.91559147834777832</v>
      </c>
      <c r="E49" s="16">
        <v>0.35772982239723211</v>
      </c>
      <c r="F49" s="16">
        <v>0.48094838857650762</v>
      </c>
      <c r="G49" s="16">
        <v>0.91559147834777832</v>
      </c>
      <c r="H49" s="16">
        <v>0.82221072912216187</v>
      </c>
    </row>
    <row r="50" spans="1:8">
      <c r="A50" s="5">
        <v>7</v>
      </c>
      <c r="B50" s="5" t="s">
        <v>274</v>
      </c>
      <c r="C50" s="27" t="s">
        <v>381</v>
      </c>
      <c r="D50" s="27">
        <v>0.56817913055419922</v>
      </c>
      <c r="E50" s="16">
        <v>0.39188539981842041</v>
      </c>
      <c r="F50" s="16">
        <v>0.42823326587677002</v>
      </c>
      <c r="G50" s="16">
        <v>0.56817913055419922</v>
      </c>
      <c r="H50" s="16">
        <v>0.32543045282363892</v>
      </c>
    </row>
    <row r="51" spans="1:8">
      <c r="A51" s="5">
        <v>3</v>
      </c>
      <c r="B51" s="5" t="s">
        <v>250</v>
      </c>
      <c r="C51" s="27" t="s">
        <v>381</v>
      </c>
      <c r="D51" s="27">
        <v>0.64630943536758423</v>
      </c>
      <c r="E51" s="16">
        <v>0.30337095260620123</v>
      </c>
      <c r="F51" s="16">
        <v>0.49457088112831121</v>
      </c>
      <c r="G51" s="16">
        <v>0.64630943536758423</v>
      </c>
      <c r="H51" s="16">
        <v>0.58967512845993042</v>
      </c>
    </row>
    <row r="52" spans="1:8">
      <c r="A52" s="5">
        <v>4</v>
      </c>
      <c r="B52" s="5" t="s">
        <v>288</v>
      </c>
      <c r="C52" s="27" t="s">
        <v>381</v>
      </c>
      <c r="D52" s="27">
        <v>0.40695291757583618</v>
      </c>
      <c r="E52" s="16">
        <v>0.29539591073989868</v>
      </c>
      <c r="F52" s="16">
        <v>0.23038709163665769</v>
      </c>
      <c r="G52" s="16">
        <v>0.40695291757583618</v>
      </c>
      <c r="H52" s="16">
        <v>0.32430857419967651</v>
      </c>
    </row>
    <row r="53" spans="1:8">
      <c r="A53" s="5">
        <v>7</v>
      </c>
      <c r="B53" s="5" t="s">
        <v>204</v>
      </c>
      <c r="C53" s="27" t="s">
        <v>381</v>
      </c>
      <c r="D53" s="27">
        <v>0.55180662870407104</v>
      </c>
      <c r="E53" s="16">
        <v>0.33269396424293518</v>
      </c>
      <c r="F53" s="16">
        <v>0.2942405641078949</v>
      </c>
      <c r="G53" s="16">
        <v>0.55180662870407104</v>
      </c>
      <c r="H53" s="16">
        <v>0.18229812383651731</v>
      </c>
    </row>
    <row r="54" spans="1:8">
      <c r="A54" s="5">
        <v>3</v>
      </c>
      <c r="B54" s="5" t="s">
        <v>321</v>
      </c>
      <c r="C54" s="27" t="s">
        <v>381</v>
      </c>
      <c r="D54" s="27">
        <v>0.40194052457809448</v>
      </c>
      <c r="E54" s="16">
        <v>0.21098354458808899</v>
      </c>
      <c r="F54" s="16">
        <v>0.166545569896698</v>
      </c>
      <c r="G54" s="16">
        <v>0.40194052457809448</v>
      </c>
      <c r="H54" s="16">
        <v>0.38194021582603449</v>
      </c>
    </row>
    <row r="55" spans="1:8">
      <c r="A55" s="5">
        <v>21</v>
      </c>
      <c r="B55" s="5" t="s">
        <v>297</v>
      </c>
      <c r="C55" s="27" t="s">
        <v>381</v>
      </c>
      <c r="D55" s="27">
        <v>0.69359546899795532</v>
      </c>
      <c r="E55" s="16">
        <v>0.30466523766517639</v>
      </c>
      <c r="F55" s="16">
        <v>0.47388112545013428</v>
      </c>
      <c r="G55" s="16">
        <v>0.69359546899795532</v>
      </c>
      <c r="H55" s="16">
        <v>0.66465389728546143</v>
      </c>
    </row>
    <row r="56" spans="1:8">
      <c r="A56" s="5">
        <v>24</v>
      </c>
      <c r="B56" s="5" t="s">
        <v>53</v>
      </c>
      <c r="C56" s="27" t="s">
        <v>381</v>
      </c>
      <c r="D56" s="27">
        <v>0.56908774375915527</v>
      </c>
      <c r="E56" s="16">
        <v>0.46941554546356201</v>
      </c>
      <c r="F56" s="16">
        <v>0.43275624513626099</v>
      </c>
      <c r="G56" s="16">
        <v>0.56908774375915527</v>
      </c>
      <c r="H56" s="16">
        <v>0.42490848898887629</v>
      </c>
    </row>
    <row r="57" spans="1:8">
      <c r="A57" s="5">
        <v>2</v>
      </c>
      <c r="B57" s="5" t="s">
        <v>273</v>
      </c>
      <c r="C57" s="27" t="s">
        <v>381</v>
      </c>
      <c r="D57" s="27">
        <v>0.74348169565200806</v>
      </c>
      <c r="E57" s="16">
        <v>0.47068017721176147</v>
      </c>
      <c r="F57" s="16">
        <v>0.66449451446533203</v>
      </c>
      <c r="G57" s="16">
        <v>0.74348169565200806</v>
      </c>
      <c r="H57" s="16">
        <v>0.7309877872467041</v>
      </c>
    </row>
    <row r="58" spans="1:8">
      <c r="A58" s="5">
        <v>32</v>
      </c>
      <c r="B58" s="5" t="s">
        <v>197</v>
      </c>
      <c r="C58" s="27" t="s">
        <v>381</v>
      </c>
      <c r="D58" s="27">
        <v>0.48107105493545532</v>
      </c>
      <c r="E58" s="16">
        <v>0.39727753400802612</v>
      </c>
      <c r="F58" s="16">
        <v>0.33818283677101141</v>
      </c>
      <c r="G58" s="16">
        <v>0.48107105493545532</v>
      </c>
      <c r="H58" s="16">
        <v>0.31183195114135742</v>
      </c>
    </row>
    <row r="59" spans="1:8">
      <c r="A59" s="5">
        <v>41</v>
      </c>
      <c r="B59" s="5" t="s">
        <v>197</v>
      </c>
      <c r="C59" s="27" t="s">
        <v>381</v>
      </c>
      <c r="D59" s="27">
        <v>0.48107105493545532</v>
      </c>
      <c r="E59" s="16">
        <v>0.39727753400802612</v>
      </c>
      <c r="F59" s="16">
        <v>0.33818283677101141</v>
      </c>
      <c r="G59" s="16">
        <v>0.48107105493545532</v>
      </c>
      <c r="H59" s="16">
        <v>0.31183195114135742</v>
      </c>
    </row>
    <row r="60" spans="1:8">
      <c r="A60" s="5">
        <v>6</v>
      </c>
      <c r="B60" s="5" t="s">
        <v>151</v>
      </c>
      <c r="C60" s="27" t="s">
        <v>381</v>
      </c>
      <c r="D60" s="27">
        <v>0.49509549140930181</v>
      </c>
      <c r="E60" s="16">
        <v>0.38752517104148859</v>
      </c>
      <c r="F60" s="16">
        <v>0.47805920243263239</v>
      </c>
      <c r="G60" s="16">
        <v>0.49509549140930181</v>
      </c>
      <c r="H60" s="16">
        <v>0.4501032829284668</v>
      </c>
    </row>
    <row r="61" spans="1:8">
      <c r="A61" s="5">
        <v>23</v>
      </c>
      <c r="B61" s="5" t="s">
        <v>222</v>
      </c>
      <c r="C61" s="27" t="s">
        <v>381</v>
      </c>
      <c r="D61" s="27">
        <v>0.69759076833724976</v>
      </c>
      <c r="E61" s="16">
        <v>0.50422489643096924</v>
      </c>
      <c r="F61" s="16">
        <v>0.66297101974487305</v>
      </c>
      <c r="G61" s="16">
        <v>0.69759076833724976</v>
      </c>
      <c r="H61" s="16">
        <v>0.66866612434387207</v>
      </c>
    </row>
    <row r="62" spans="1:8">
      <c r="A62" s="5">
        <v>10</v>
      </c>
      <c r="B62" s="5" t="s">
        <v>277</v>
      </c>
      <c r="C62" s="27" t="s">
        <v>381</v>
      </c>
      <c r="D62" s="27">
        <v>0.84164547920227051</v>
      </c>
      <c r="E62" s="16">
        <v>0.28595224022865301</v>
      </c>
      <c r="F62" s="16">
        <v>0.48266884684562678</v>
      </c>
      <c r="G62" s="16">
        <v>0.84164547920227051</v>
      </c>
      <c r="H62" s="16">
        <v>0.71252787113189697</v>
      </c>
    </row>
    <row r="63" spans="1:8">
      <c r="A63" s="5">
        <v>9</v>
      </c>
      <c r="B63" s="5" t="s">
        <v>153</v>
      </c>
      <c r="C63" s="27" t="s">
        <v>381</v>
      </c>
      <c r="D63" s="27">
        <v>0.41577157378196722</v>
      </c>
      <c r="E63" s="16">
        <v>0.34547609090805048</v>
      </c>
      <c r="F63" s="16">
        <v>0.31810569763183588</v>
      </c>
      <c r="G63" s="16">
        <v>0.41577157378196722</v>
      </c>
      <c r="H63" s="16">
        <v>0.3002895712852478</v>
      </c>
    </row>
    <row r="64" spans="1:8">
      <c r="A64" s="5">
        <v>25</v>
      </c>
      <c r="B64" s="5" t="s">
        <v>225</v>
      </c>
      <c r="C64" s="27" t="s">
        <v>381</v>
      </c>
      <c r="D64" s="27">
        <v>0.69732958078384399</v>
      </c>
      <c r="E64" s="16">
        <v>0.44777107238769531</v>
      </c>
      <c r="F64" s="16">
        <v>0.6696476936340332</v>
      </c>
      <c r="G64" s="16">
        <v>0.69732958078384399</v>
      </c>
      <c r="H64" s="16">
        <v>0.68490636348724365</v>
      </c>
    </row>
    <row r="65" spans="1:8">
      <c r="A65" s="5">
        <v>2</v>
      </c>
      <c r="B65" s="5" t="s">
        <v>249</v>
      </c>
      <c r="C65" s="27" t="s">
        <v>381</v>
      </c>
      <c r="D65" s="27">
        <v>0.67818725109100342</v>
      </c>
      <c r="E65" s="16">
        <v>0.30330961942672729</v>
      </c>
      <c r="F65" s="16">
        <v>0.46738710999488831</v>
      </c>
      <c r="G65" s="16">
        <v>0.67818725109100342</v>
      </c>
      <c r="H65" s="16">
        <v>0.62412178516387939</v>
      </c>
    </row>
    <row r="66" spans="1:8">
      <c r="A66" s="5">
        <v>4</v>
      </c>
      <c r="B66" s="5" t="s">
        <v>200</v>
      </c>
      <c r="C66" s="27" t="s">
        <v>381</v>
      </c>
      <c r="D66" s="27">
        <v>0.54864323139190674</v>
      </c>
      <c r="E66" s="16">
        <v>0.45065504312515259</v>
      </c>
      <c r="F66" s="16">
        <v>0.40609201788902283</v>
      </c>
      <c r="G66" s="16">
        <v>0.54864323139190674</v>
      </c>
      <c r="H66" s="16">
        <v>0.36930447816848749</v>
      </c>
    </row>
    <row r="67" spans="1:8">
      <c r="A67" s="5">
        <v>33</v>
      </c>
      <c r="B67" s="5" t="s">
        <v>307</v>
      </c>
      <c r="C67" s="27" t="s">
        <v>381</v>
      </c>
      <c r="D67" s="27">
        <v>0.84681594371795654</v>
      </c>
      <c r="E67" s="16">
        <v>0.34684401750564581</v>
      </c>
      <c r="F67" s="16">
        <v>0.48783138394355768</v>
      </c>
      <c r="G67" s="16">
        <v>0.84681594371795654</v>
      </c>
      <c r="H67" s="16">
        <v>0.779674232006073</v>
      </c>
    </row>
    <row r="68" spans="1:8">
      <c r="A68" s="5">
        <v>4</v>
      </c>
      <c r="B68" s="5" t="s">
        <v>190</v>
      </c>
      <c r="C68" s="27" t="s">
        <v>381</v>
      </c>
      <c r="D68" s="27">
        <v>0.46286383271217352</v>
      </c>
      <c r="E68" s="16">
        <v>0.37574988603591919</v>
      </c>
      <c r="F68" s="16">
        <v>0.43137329816818237</v>
      </c>
      <c r="G68" s="16">
        <v>0.46286383271217352</v>
      </c>
      <c r="H68" s="16">
        <v>0.41748106479644781</v>
      </c>
    </row>
    <row r="69" spans="1:8">
      <c r="A69" s="5">
        <v>1</v>
      </c>
      <c r="B69" s="5" t="s">
        <v>190</v>
      </c>
      <c r="C69" s="27" t="s">
        <v>381</v>
      </c>
      <c r="D69" s="27">
        <v>0.46286383271217352</v>
      </c>
      <c r="E69" s="16">
        <v>0.37574988603591919</v>
      </c>
      <c r="F69" s="16">
        <v>0.43137329816818237</v>
      </c>
      <c r="G69" s="16">
        <v>0.46286383271217352</v>
      </c>
      <c r="H69" s="16">
        <v>0.41748106479644781</v>
      </c>
    </row>
    <row r="70" spans="1:8">
      <c r="A70" s="5">
        <v>33</v>
      </c>
      <c r="B70" s="5" t="s">
        <v>190</v>
      </c>
      <c r="C70" s="27" t="s">
        <v>381</v>
      </c>
      <c r="D70" s="27">
        <v>0.46286383271217352</v>
      </c>
      <c r="E70" s="16">
        <v>0.37574988603591919</v>
      </c>
      <c r="F70" s="16">
        <v>0.43137329816818237</v>
      </c>
      <c r="G70" s="16">
        <v>0.46286383271217352</v>
      </c>
      <c r="H70" s="16">
        <v>0.41748106479644781</v>
      </c>
    </row>
    <row r="71" spans="1:8">
      <c r="A71" s="5">
        <v>37</v>
      </c>
      <c r="B71" s="5" t="s">
        <v>148</v>
      </c>
      <c r="C71" s="27" t="s">
        <v>381</v>
      </c>
      <c r="D71" s="27">
        <v>0.53276586532592773</v>
      </c>
      <c r="E71" s="16">
        <v>0.42464488744735718</v>
      </c>
      <c r="F71" s="16">
        <v>0.469493567943573</v>
      </c>
      <c r="G71" s="16">
        <v>0.53276586532592773</v>
      </c>
      <c r="H71" s="16">
        <v>0.50483119487762451</v>
      </c>
    </row>
    <row r="72" spans="1:8">
      <c r="A72" s="5">
        <v>23</v>
      </c>
      <c r="B72" s="5" t="s">
        <v>221</v>
      </c>
      <c r="C72" s="27" t="s">
        <v>381</v>
      </c>
      <c r="D72" s="27">
        <v>0.72085064649581909</v>
      </c>
      <c r="E72" s="16">
        <v>0.37986752390861511</v>
      </c>
      <c r="F72" s="16">
        <v>0.54066145420074463</v>
      </c>
      <c r="G72" s="16">
        <v>0.72085064649581909</v>
      </c>
      <c r="H72" s="16">
        <v>0.69402432441711426</v>
      </c>
    </row>
    <row r="73" spans="1:8">
      <c r="A73" s="5">
        <v>31</v>
      </c>
      <c r="B73" s="5" t="s">
        <v>230</v>
      </c>
      <c r="C73" s="27" t="s">
        <v>381</v>
      </c>
      <c r="D73" s="27">
        <v>0.64626646041870117</v>
      </c>
      <c r="E73" s="16">
        <v>0.40642997622489929</v>
      </c>
      <c r="F73" s="16">
        <v>0.62348783016204834</v>
      </c>
      <c r="G73" s="16">
        <v>0.64626646041870117</v>
      </c>
      <c r="H73" s="16">
        <v>0.5832635760307312</v>
      </c>
    </row>
    <row r="74" spans="1:8">
      <c r="A74" s="5">
        <v>15</v>
      </c>
      <c r="B74" s="5" t="s">
        <v>210</v>
      </c>
      <c r="C74" s="27" t="s">
        <v>381</v>
      </c>
      <c r="D74" s="27">
        <v>0.84632992744445801</v>
      </c>
      <c r="E74" s="16">
        <v>0.40112566947937012</v>
      </c>
      <c r="F74" s="16">
        <v>0.54890358448028564</v>
      </c>
      <c r="G74" s="16">
        <v>0.84632992744445801</v>
      </c>
      <c r="H74" s="16">
        <v>0.75163793563842773</v>
      </c>
    </row>
    <row r="75" spans="1:8">
      <c r="A75" s="5">
        <v>16</v>
      </c>
      <c r="B75" s="5" t="s">
        <v>212</v>
      </c>
      <c r="C75" s="27" t="s">
        <v>381</v>
      </c>
      <c r="D75" s="27">
        <v>0.84786736965179443</v>
      </c>
      <c r="E75" s="16">
        <v>0.36545902490615839</v>
      </c>
      <c r="F75" s="16">
        <v>0.49043631553649902</v>
      </c>
      <c r="G75" s="16">
        <v>0.84786736965179443</v>
      </c>
      <c r="H75" s="16">
        <v>0.71067160367965698</v>
      </c>
    </row>
    <row r="76" spans="1:8">
      <c r="A76" s="5">
        <v>32</v>
      </c>
      <c r="B76" s="5" t="s">
        <v>261</v>
      </c>
      <c r="C76" s="27" t="s">
        <v>381</v>
      </c>
      <c r="D76" s="27">
        <v>0.53351765871047974</v>
      </c>
      <c r="E76" s="16">
        <v>0.41625785827636719</v>
      </c>
      <c r="F76" s="16">
        <v>0.45619270205497742</v>
      </c>
      <c r="G76" s="16">
        <v>0.53351765871047974</v>
      </c>
      <c r="H76" s="16">
        <v>0.44486650824546808</v>
      </c>
    </row>
    <row r="77" spans="1:8">
      <c r="A77" s="5">
        <v>38</v>
      </c>
      <c r="B77" s="5" t="s">
        <v>270</v>
      </c>
      <c r="C77" s="27" t="s">
        <v>381</v>
      </c>
      <c r="D77" s="27">
        <v>0.62522631883621216</v>
      </c>
      <c r="E77" s="16">
        <v>0.40089142322540278</v>
      </c>
      <c r="F77" s="16">
        <v>0.5728752613067627</v>
      </c>
      <c r="G77" s="16">
        <v>0.62522631883621216</v>
      </c>
      <c r="H77" s="16">
        <v>0.56904381513595581</v>
      </c>
    </row>
    <row r="78" spans="1:8">
      <c r="A78" s="5">
        <v>36</v>
      </c>
      <c r="B78" s="5" t="s">
        <v>265</v>
      </c>
      <c r="C78" s="27" t="s">
        <v>381</v>
      </c>
      <c r="D78" s="27">
        <v>0.54360508918762207</v>
      </c>
      <c r="E78" s="16">
        <v>0.48379138112068182</v>
      </c>
      <c r="F78" s="16">
        <v>0.31013298034667969</v>
      </c>
      <c r="G78" s="16">
        <v>0.54360508918762207</v>
      </c>
      <c r="H78" s="16">
        <v>0.27314034104347229</v>
      </c>
    </row>
    <row r="79" spans="1:8">
      <c r="A79" s="5">
        <v>6</v>
      </c>
      <c r="B79" s="5" t="s">
        <v>251</v>
      </c>
      <c r="C79" s="27" t="s">
        <v>381</v>
      </c>
      <c r="D79" s="27">
        <v>0.7352607250213623</v>
      </c>
      <c r="E79" s="16">
        <v>0.32865804433822632</v>
      </c>
      <c r="F79" s="16">
        <v>0.48298734426498408</v>
      </c>
      <c r="G79" s="16">
        <v>0.7352607250213623</v>
      </c>
      <c r="H79" s="16">
        <v>0.66199201345443726</v>
      </c>
    </row>
    <row r="80" spans="1:8">
      <c r="A80" s="5">
        <v>25</v>
      </c>
      <c r="B80" s="5" t="s">
        <v>179</v>
      </c>
      <c r="C80" s="27" t="s">
        <v>381</v>
      </c>
      <c r="D80" s="27">
        <v>0.40836486220359802</v>
      </c>
      <c r="E80" s="16">
        <v>0.34513700008392328</v>
      </c>
      <c r="F80" s="16">
        <v>0.36154770851135248</v>
      </c>
      <c r="G80" s="16">
        <v>0.40836486220359802</v>
      </c>
      <c r="H80" s="16">
        <v>0.35721677541732788</v>
      </c>
    </row>
    <row r="81" spans="1:8">
      <c r="A81" s="5">
        <v>40</v>
      </c>
      <c r="B81" s="5" t="s">
        <v>180</v>
      </c>
      <c r="C81" s="27" t="s">
        <v>381</v>
      </c>
      <c r="D81" s="27">
        <v>0.43935731053352362</v>
      </c>
      <c r="E81" s="16">
        <v>0.39619171619415278</v>
      </c>
      <c r="F81" s="16">
        <v>0.34262752532958979</v>
      </c>
      <c r="G81" s="16">
        <v>0.43935731053352362</v>
      </c>
      <c r="H81" s="16">
        <v>0.21135611832141879</v>
      </c>
    </row>
    <row r="82" spans="1:8">
      <c r="A82" s="5">
        <v>10</v>
      </c>
      <c r="B82" s="5" t="s">
        <v>144</v>
      </c>
      <c r="C82" s="27" t="s">
        <v>381</v>
      </c>
      <c r="D82" s="27">
        <v>0.47713389992713928</v>
      </c>
      <c r="E82" s="16">
        <v>0.3806367814540863</v>
      </c>
      <c r="F82" s="16">
        <v>0.4466559886932373</v>
      </c>
      <c r="G82" s="16">
        <v>0.47713389992713928</v>
      </c>
      <c r="H82" s="16">
        <v>0.27544915676116938</v>
      </c>
    </row>
    <row r="83" spans="1:8">
      <c r="A83" s="5">
        <v>21</v>
      </c>
      <c r="B83" s="5" t="s">
        <v>194</v>
      </c>
      <c r="C83" s="27" t="s">
        <v>381</v>
      </c>
      <c r="D83" s="27">
        <v>0.83622395992279053</v>
      </c>
      <c r="E83" s="16">
        <v>0.43647727370262152</v>
      </c>
      <c r="F83" s="16">
        <v>0.59593641757965088</v>
      </c>
      <c r="G83" s="16">
        <v>0.83622395992279053</v>
      </c>
      <c r="H83" s="16">
        <v>0.73896479606628418</v>
      </c>
    </row>
    <row r="84" spans="1:8">
      <c r="A84" s="5">
        <v>23</v>
      </c>
      <c r="B84" s="5" t="s">
        <v>257</v>
      </c>
      <c r="C84" s="27" t="s">
        <v>381</v>
      </c>
      <c r="D84" s="27">
        <v>0.4236290454864502</v>
      </c>
      <c r="E84" s="16">
        <v>0.33496463298797607</v>
      </c>
      <c r="F84" s="16">
        <v>0.33270502090454102</v>
      </c>
      <c r="G84" s="16">
        <v>0.4236290454864502</v>
      </c>
      <c r="H84" s="16">
        <v>0.24418202042579651</v>
      </c>
    </row>
    <row r="85" spans="1:8">
      <c r="A85" s="5">
        <v>12</v>
      </c>
      <c r="B85" s="5" t="s">
        <v>192</v>
      </c>
      <c r="C85" s="27" t="s">
        <v>381</v>
      </c>
      <c r="D85" s="27">
        <v>0.40359225869178772</v>
      </c>
      <c r="E85" s="16">
        <v>0.33566328883171082</v>
      </c>
      <c r="F85" s="16">
        <v>0.34195801615715032</v>
      </c>
      <c r="G85" s="16">
        <v>0.40359225869178772</v>
      </c>
      <c r="H85" s="16">
        <v>0.23721502721309659</v>
      </c>
    </row>
    <row r="86" spans="1:8">
      <c r="A86" s="5">
        <v>2</v>
      </c>
      <c r="B86" s="5" t="s">
        <v>189</v>
      </c>
      <c r="C86" s="27" t="s">
        <v>381</v>
      </c>
      <c r="D86" s="27">
        <v>0.44983166456222529</v>
      </c>
      <c r="E86" s="16">
        <v>0.36902374029159551</v>
      </c>
      <c r="F86" s="16">
        <v>0.39387863874435419</v>
      </c>
      <c r="G86" s="16">
        <v>0.44983166456222529</v>
      </c>
      <c r="H86" s="16">
        <v>0.28244200348854059</v>
      </c>
    </row>
    <row r="87" spans="1:8">
      <c r="A87" s="5">
        <v>5</v>
      </c>
      <c r="B87" s="5" t="s">
        <v>201</v>
      </c>
      <c r="C87" s="27" t="s">
        <v>381</v>
      </c>
      <c r="D87" s="27">
        <v>0.48516738414764399</v>
      </c>
      <c r="E87" s="16">
        <v>0.22938831150531769</v>
      </c>
      <c r="F87" s="16">
        <v>0.28098639845848078</v>
      </c>
      <c r="G87" s="16">
        <v>0.48516738414764399</v>
      </c>
      <c r="H87" s="16">
        <v>0.40037131309509277</v>
      </c>
    </row>
    <row r="88" spans="1:8">
      <c r="A88" s="5">
        <v>39</v>
      </c>
      <c r="B88" s="5" t="s">
        <v>150</v>
      </c>
      <c r="C88" s="27" t="s">
        <v>381</v>
      </c>
      <c r="D88" s="27">
        <v>0.62197518348693848</v>
      </c>
      <c r="E88" s="16">
        <v>0.40331551432609558</v>
      </c>
      <c r="F88" s="16">
        <v>0.55802679061889648</v>
      </c>
      <c r="G88" s="16">
        <v>0.62197518348693848</v>
      </c>
      <c r="H88" s="16">
        <v>0.53074169158935547</v>
      </c>
    </row>
    <row r="89" spans="1:8">
      <c r="A89" s="5">
        <v>31</v>
      </c>
      <c r="B89" s="5" t="s">
        <v>167</v>
      </c>
      <c r="C89" s="27" t="s">
        <v>381</v>
      </c>
      <c r="D89" s="27">
        <v>0.4496161937713623</v>
      </c>
      <c r="E89" s="16">
        <v>0.33868306875228882</v>
      </c>
      <c r="F89" s="16">
        <v>0.27326181530952448</v>
      </c>
      <c r="G89" s="16">
        <v>0.4496161937713623</v>
      </c>
      <c r="H89" s="16">
        <v>0.2429036200046539</v>
      </c>
    </row>
    <row r="90" spans="1:8">
      <c r="A90" s="5">
        <v>37</v>
      </c>
      <c r="B90" s="5" t="s">
        <v>129</v>
      </c>
      <c r="C90" s="27" t="s">
        <v>381</v>
      </c>
      <c r="D90" s="27">
        <v>0.80112564563751221</v>
      </c>
      <c r="E90" s="16">
        <v>0.37824547290802002</v>
      </c>
      <c r="F90" s="16">
        <v>0.55295455455780029</v>
      </c>
      <c r="G90" s="16">
        <v>0.80112564563751221</v>
      </c>
      <c r="H90" s="16">
        <v>0.68555951118469238</v>
      </c>
    </row>
    <row r="91" spans="1:8">
      <c r="A91" s="5">
        <v>1</v>
      </c>
      <c r="B91" s="5" t="s">
        <v>183</v>
      </c>
      <c r="C91" s="27" t="s">
        <v>381</v>
      </c>
      <c r="D91" s="27">
        <v>0.59529554843902588</v>
      </c>
      <c r="E91" s="16">
        <v>0.33284476399421692</v>
      </c>
      <c r="F91" s="16">
        <v>0.26065438985824579</v>
      </c>
      <c r="G91" s="16">
        <v>0.59529554843902588</v>
      </c>
      <c r="H91" s="16">
        <v>0.24671593308448789</v>
      </c>
    </row>
    <row r="92" spans="1:8">
      <c r="A92" s="5">
        <v>37</v>
      </c>
      <c r="B92" s="5" t="s">
        <v>131</v>
      </c>
      <c r="C92" s="27" t="s">
        <v>381</v>
      </c>
      <c r="D92" s="27">
        <v>0.59789013862609863</v>
      </c>
      <c r="E92" s="16">
        <v>0.44005739688873291</v>
      </c>
      <c r="F92" s="16">
        <v>0.54709768295288086</v>
      </c>
      <c r="G92" s="16">
        <v>0.59789013862609863</v>
      </c>
      <c r="H92" s="16">
        <v>0.49294102191925049</v>
      </c>
    </row>
    <row r="93" spans="1:8">
      <c r="A93" s="5">
        <v>41</v>
      </c>
      <c r="B93" s="5" t="s">
        <v>182</v>
      </c>
      <c r="C93" s="27" t="s">
        <v>381</v>
      </c>
      <c r="D93" s="27">
        <v>0.42147621512413019</v>
      </c>
      <c r="E93" s="16">
        <v>0.28139951825141912</v>
      </c>
      <c r="F93" s="16">
        <v>0.2481616139411926</v>
      </c>
      <c r="G93" s="16">
        <v>0.42147621512413019</v>
      </c>
      <c r="H93" s="16">
        <v>0.27978977560997009</v>
      </c>
    </row>
    <row r="94" spans="1:8">
      <c r="A94" s="5">
        <v>36</v>
      </c>
      <c r="B94" s="5" t="s">
        <v>127</v>
      </c>
      <c r="C94" s="27" t="s">
        <v>381</v>
      </c>
      <c r="D94" s="27">
        <v>0.6575387716293335</v>
      </c>
      <c r="E94" s="16">
        <v>0.24180912971496579</v>
      </c>
      <c r="F94" s="16">
        <v>0.37942951917648321</v>
      </c>
      <c r="G94" s="16">
        <v>0.6575387716293335</v>
      </c>
      <c r="H94" s="16">
        <v>0.50960612297058105</v>
      </c>
    </row>
    <row r="95" spans="1:8">
      <c r="A95" s="5">
        <v>37</v>
      </c>
      <c r="B95" s="5" t="s">
        <v>130</v>
      </c>
      <c r="C95" s="27" t="s">
        <v>381</v>
      </c>
      <c r="D95" s="27">
        <v>0.83051180839538574</v>
      </c>
      <c r="E95" s="16">
        <v>0.29428839683532709</v>
      </c>
      <c r="F95" s="16">
        <v>0.45304763317108149</v>
      </c>
      <c r="G95" s="16">
        <v>0.83051180839538574</v>
      </c>
      <c r="H95" s="16">
        <v>0.62360715866088867</v>
      </c>
    </row>
    <row r="96" spans="1:8">
      <c r="A96" s="5">
        <v>19</v>
      </c>
      <c r="B96" s="5" t="s">
        <v>215</v>
      </c>
      <c r="C96" s="27" t="s">
        <v>381</v>
      </c>
      <c r="D96" s="27">
        <v>0.5365605354309082</v>
      </c>
      <c r="E96" s="16">
        <v>0.23434966802597049</v>
      </c>
      <c r="F96" s="16">
        <v>0.2121851444244385</v>
      </c>
      <c r="G96" s="16">
        <v>0.5365605354309082</v>
      </c>
      <c r="H96" s="16">
        <v>0.25468075275421143</v>
      </c>
    </row>
    <row r="97" spans="1:8">
      <c r="A97" s="5">
        <v>31</v>
      </c>
      <c r="B97" s="5" t="s">
        <v>140</v>
      </c>
      <c r="C97" s="27" t="s">
        <v>381</v>
      </c>
      <c r="D97" s="27">
        <v>0.56407982110977173</v>
      </c>
      <c r="E97" s="16">
        <v>0.36558502912521362</v>
      </c>
      <c r="F97" s="16">
        <v>0.4908217191696167</v>
      </c>
      <c r="G97" s="16">
        <v>0.56407982110977173</v>
      </c>
      <c r="H97" s="16">
        <v>0.48700171709060669</v>
      </c>
    </row>
    <row r="98" spans="1:8">
      <c r="A98" s="5">
        <v>31</v>
      </c>
      <c r="B98" s="5" t="s">
        <v>169</v>
      </c>
      <c r="C98" s="27" t="s">
        <v>381</v>
      </c>
      <c r="D98" s="27">
        <v>0.42756369709968572</v>
      </c>
      <c r="E98" s="16">
        <v>0.34655162692070007</v>
      </c>
      <c r="F98" s="16">
        <v>0.3127250075340271</v>
      </c>
      <c r="G98" s="16">
        <v>0.42756369709968572</v>
      </c>
      <c r="H98" s="16">
        <v>0.195592075586319</v>
      </c>
    </row>
    <row r="99" spans="1:8">
      <c r="A99" s="5">
        <v>1</v>
      </c>
      <c r="B99" s="5" t="s">
        <v>248</v>
      </c>
      <c r="C99" s="27" t="s">
        <v>381</v>
      </c>
      <c r="D99" s="27">
        <v>0.70888245105743408</v>
      </c>
      <c r="E99" s="16">
        <v>0.35842490196228027</v>
      </c>
      <c r="F99" s="16">
        <v>0.57111132144927979</v>
      </c>
      <c r="G99" s="16">
        <v>0.70888245105743408</v>
      </c>
      <c r="H99" s="16">
        <v>0.59777605533599854</v>
      </c>
    </row>
    <row r="100" spans="1:8">
      <c r="A100" s="5">
        <v>27</v>
      </c>
      <c r="B100" s="5" t="s">
        <v>337</v>
      </c>
      <c r="C100" s="27" t="s">
        <v>381</v>
      </c>
      <c r="D100" s="27">
        <v>0.5023949146270752</v>
      </c>
      <c r="E100" s="16">
        <v>0.41070845723152161</v>
      </c>
      <c r="F100" s="16">
        <v>0.38104823231697083</v>
      </c>
      <c r="G100" s="16">
        <v>0.5023949146270752</v>
      </c>
      <c r="H100" s="16">
        <v>0.38961631059646612</v>
      </c>
    </row>
    <row r="101" spans="1:8">
      <c r="A101" s="5">
        <v>37</v>
      </c>
      <c r="B101" s="5" t="s">
        <v>171</v>
      </c>
      <c r="C101" s="27" t="s">
        <v>381</v>
      </c>
      <c r="D101" s="27">
        <v>0.53532612323760986</v>
      </c>
      <c r="E101" s="16">
        <v>0.24023306369781491</v>
      </c>
      <c r="F101" s="16">
        <v>0.35264933109283447</v>
      </c>
      <c r="G101" s="16">
        <v>0.53532612323760986</v>
      </c>
      <c r="H101" s="16">
        <v>0.44544178247451782</v>
      </c>
    </row>
    <row r="102" spans="1:8">
      <c r="A102" s="5">
        <v>37</v>
      </c>
      <c r="B102" s="5" t="s">
        <v>171</v>
      </c>
      <c r="C102" s="27" t="s">
        <v>381</v>
      </c>
      <c r="D102" s="27">
        <v>0.53532612323760986</v>
      </c>
      <c r="E102" s="16">
        <v>0.24023306369781491</v>
      </c>
      <c r="F102" s="16">
        <v>0.35264933109283447</v>
      </c>
      <c r="G102" s="16">
        <v>0.53532612323760986</v>
      </c>
      <c r="H102" s="16">
        <v>0.44544178247451782</v>
      </c>
    </row>
    <row r="103" spans="1:8">
      <c r="A103" s="5">
        <v>20</v>
      </c>
      <c r="B103" s="5" t="s">
        <v>220</v>
      </c>
      <c r="C103" s="27" t="s">
        <v>381</v>
      </c>
      <c r="D103" s="27">
        <v>0.79794132709503174</v>
      </c>
      <c r="E103" s="16">
        <v>0.33186888694763178</v>
      </c>
      <c r="F103" s="16">
        <v>0.52496778964996338</v>
      </c>
      <c r="G103" s="16">
        <v>0.79794132709503174</v>
      </c>
      <c r="H103" s="16">
        <v>0.75738775730133057</v>
      </c>
    </row>
    <row r="104" spans="1:8">
      <c r="A104" s="5">
        <v>37</v>
      </c>
      <c r="B104" s="5" t="s">
        <v>266</v>
      </c>
      <c r="C104" s="27" t="s">
        <v>381</v>
      </c>
      <c r="D104" s="27">
        <v>0.7871406078338623</v>
      </c>
      <c r="E104" s="16">
        <v>0.31165707111358643</v>
      </c>
      <c r="F104" s="16">
        <v>0.50738930702209473</v>
      </c>
      <c r="G104" s="16">
        <v>0.7871406078338623</v>
      </c>
      <c r="H104" s="16">
        <v>0.66849702596664429</v>
      </c>
    </row>
    <row r="105" spans="1:8">
      <c r="A105" s="5">
        <v>31</v>
      </c>
      <c r="B105" s="5" t="s">
        <v>231</v>
      </c>
      <c r="C105" s="27" t="s">
        <v>381</v>
      </c>
      <c r="D105" s="27">
        <v>0.64741671085357666</v>
      </c>
      <c r="E105" s="16">
        <v>0.44184625148773188</v>
      </c>
      <c r="F105" s="16">
        <v>0.52124804258346558</v>
      </c>
      <c r="G105" s="16">
        <v>0.64741671085357666</v>
      </c>
      <c r="H105" s="16">
        <v>0.6137690544128418</v>
      </c>
    </row>
    <row r="106" spans="1:8">
      <c r="A106" s="5">
        <v>25</v>
      </c>
      <c r="B106" s="5" t="s">
        <v>231</v>
      </c>
      <c r="C106" s="27" t="s">
        <v>381</v>
      </c>
      <c r="D106" s="27">
        <v>0.64741671085357666</v>
      </c>
      <c r="E106" s="16">
        <v>0.44184625148773188</v>
      </c>
      <c r="F106" s="16">
        <v>0.52124804258346558</v>
      </c>
      <c r="G106" s="16">
        <v>0.64741671085357666</v>
      </c>
      <c r="H106" s="16">
        <v>0.6137690544128418</v>
      </c>
    </row>
    <row r="107" spans="1:8">
      <c r="A107" s="5">
        <v>20</v>
      </c>
      <c r="B107" s="5" t="s">
        <v>217</v>
      </c>
      <c r="C107" s="27" t="s">
        <v>381</v>
      </c>
      <c r="D107" s="27">
        <v>0.62439918518066406</v>
      </c>
      <c r="E107" s="16">
        <v>0.37457716464996338</v>
      </c>
      <c r="F107" s="16">
        <v>0.48638796806335449</v>
      </c>
      <c r="G107" s="16">
        <v>0.62439918518066406</v>
      </c>
      <c r="H107" s="16">
        <v>0.58897030353546143</v>
      </c>
    </row>
    <row r="108" spans="1:8">
      <c r="A108" s="5">
        <v>6</v>
      </c>
      <c r="B108" s="5" t="s">
        <v>252</v>
      </c>
      <c r="C108" s="27" t="s">
        <v>381</v>
      </c>
      <c r="D108" s="27">
        <v>0.82761085033416748</v>
      </c>
      <c r="E108" s="16">
        <v>0.32334837317466741</v>
      </c>
      <c r="F108" s="16">
        <v>0.50805932283401489</v>
      </c>
      <c r="G108" s="16">
        <v>0.82761085033416748</v>
      </c>
      <c r="H108" s="16">
        <v>0.76303386688232422</v>
      </c>
    </row>
    <row r="109" spans="1:8">
      <c r="A109" s="5">
        <v>41</v>
      </c>
      <c r="B109" s="5" t="s">
        <v>312</v>
      </c>
      <c r="C109" s="27" t="s">
        <v>381</v>
      </c>
      <c r="D109" s="27">
        <v>0.70923584699630737</v>
      </c>
      <c r="E109" s="16">
        <v>0.404378741979599</v>
      </c>
      <c r="F109" s="16">
        <v>0.41092827916145319</v>
      </c>
      <c r="G109" s="16">
        <v>0.70923584699630737</v>
      </c>
      <c r="H109" s="16">
        <v>0.33286988735198969</v>
      </c>
    </row>
    <row r="110" spans="1:8">
      <c r="A110" s="5">
        <v>9</v>
      </c>
      <c r="B110" s="5" t="s">
        <v>276</v>
      </c>
      <c r="C110" s="27" t="s">
        <v>381</v>
      </c>
      <c r="D110" s="27">
        <v>0.74501043558120728</v>
      </c>
      <c r="E110" s="16">
        <v>0.37797850370407099</v>
      </c>
      <c r="F110" s="16">
        <v>0.39116781949996948</v>
      </c>
      <c r="G110" s="16">
        <v>0.74501043558120728</v>
      </c>
      <c r="H110" s="16">
        <v>0.32259875535964971</v>
      </c>
    </row>
    <row r="111" spans="1:8">
      <c r="A111" s="5">
        <v>20</v>
      </c>
      <c r="B111" s="5" t="s">
        <v>219</v>
      </c>
      <c r="C111" s="27" t="s">
        <v>381</v>
      </c>
      <c r="D111" s="27">
        <v>0.75532901287078857</v>
      </c>
      <c r="E111" s="16">
        <v>0.40852677822113043</v>
      </c>
      <c r="F111" s="16">
        <v>0.58338135480880737</v>
      </c>
      <c r="G111" s="16">
        <v>0.75532901287078857</v>
      </c>
      <c r="H111" s="16">
        <v>0.60184293985366821</v>
      </c>
    </row>
    <row r="112" spans="1:8">
      <c r="A112" s="5">
        <v>30</v>
      </c>
      <c r="B112" s="5" t="s">
        <v>229</v>
      </c>
      <c r="C112" s="27" t="s">
        <v>381</v>
      </c>
      <c r="D112" s="27">
        <v>0.65331017971038818</v>
      </c>
      <c r="E112" s="16">
        <v>0.36802428960800171</v>
      </c>
      <c r="F112" s="16">
        <v>0.40213361382484442</v>
      </c>
      <c r="G112" s="16">
        <v>0.65331017971038818</v>
      </c>
      <c r="H112" s="16">
        <v>0.35636347532272339</v>
      </c>
    </row>
    <row r="113" spans="1:8">
      <c r="A113" s="5">
        <v>25</v>
      </c>
      <c r="B113" s="5" t="s">
        <v>335</v>
      </c>
      <c r="C113" s="27" t="s">
        <v>381</v>
      </c>
      <c r="D113" s="27">
        <v>0.66100144386291504</v>
      </c>
      <c r="E113" s="16">
        <v>0.2328323423862457</v>
      </c>
      <c r="F113" s="16">
        <v>0.32299458980560303</v>
      </c>
      <c r="G113" s="16">
        <v>0.66100144386291504</v>
      </c>
      <c r="H113" s="16">
        <v>0.42662402987480158</v>
      </c>
    </row>
    <row r="114" spans="1:8">
      <c r="A114" s="5">
        <v>28</v>
      </c>
      <c r="B114" s="5" t="s">
        <v>258</v>
      </c>
      <c r="C114" s="27" t="s">
        <v>381</v>
      </c>
      <c r="D114" s="27">
        <v>0.55281287431716919</v>
      </c>
      <c r="E114" s="16">
        <v>0.2508503794670105</v>
      </c>
      <c r="F114" s="16">
        <v>0.46630179882049561</v>
      </c>
      <c r="G114" s="16">
        <v>0.55281287431716919</v>
      </c>
      <c r="H114" s="16">
        <v>0.41771316528320313</v>
      </c>
    </row>
    <row r="115" spans="1:8">
      <c r="A115" s="5">
        <v>37</v>
      </c>
      <c r="B115" s="5" t="s">
        <v>287</v>
      </c>
      <c r="C115" s="27" t="s">
        <v>381</v>
      </c>
      <c r="D115" s="27">
        <v>0.6466667652130127</v>
      </c>
      <c r="E115" s="16">
        <v>0.3306337296962738</v>
      </c>
      <c r="F115" s="16">
        <v>0.30687141418457031</v>
      </c>
      <c r="G115" s="16">
        <v>0.6466667652130127</v>
      </c>
      <c r="H115" s="16">
        <v>0.3768572211265564</v>
      </c>
    </row>
    <row r="116" spans="1:8">
      <c r="A116" s="5">
        <v>33</v>
      </c>
      <c r="B116" s="5" t="s">
        <v>164</v>
      </c>
      <c r="C116" s="27" t="s">
        <v>381</v>
      </c>
      <c r="D116" s="27">
        <v>0.54795539379119873</v>
      </c>
      <c r="E116" s="16">
        <v>0.30129930377006531</v>
      </c>
      <c r="F116" s="16">
        <v>0.22957077622413641</v>
      </c>
      <c r="G116" s="16">
        <v>0.54795539379119873</v>
      </c>
      <c r="H116" s="16">
        <v>0.2288616597652435</v>
      </c>
    </row>
    <row r="117" spans="1:8">
      <c r="A117" s="5">
        <v>25</v>
      </c>
      <c r="B117" s="5" t="s">
        <v>224</v>
      </c>
      <c r="C117" s="27" t="s">
        <v>381</v>
      </c>
      <c r="D117" s="27">
        <v>0.52756047248840332</v>
      </c>
      <c r="E117" s="16">
        <v>0.44720882177352911</v>
      </c>
      <c r="F117" s="16">
        <v>0.42964228987693792</v>
      </c>
      <c r="G117" s="16">
        <v>0.52756047248840332</v>
      </c>
      <c r="H117" s="16">
        <v>0.3413202166557312</v>
      </c>
    </row>
    <row r="118" spans="1:8">
      <c r="A118" s="5">
        <v>20</v>
      </c>
      <c r="B118" s="5" t="s">
        <v>218</v>
      </c>
      <c r="C118" s="27" t="s">
        <v>381</v>
      </c>
      <c r="D118" s="27">
        <v>0.64415967464447021</v>
      </c>
      <c r="E118" s="16">
        <v>0.42050394415855408</v>
      </c>
      <c r="F118" s="16">
        <v>0.61111748218536377</v>
      </c>
      <c r="G118" s="16">
        <v>0.64415967464447021</v>
      </c>
      <c r="H118" s="16">
        <v>0.55510032176971436</v>
      </c>
    </row>
    <row r="119" spans="1:8">
      <c r="A119" s="5">
        <v>18</v>
      </c>
      <c r="B119" s="5" t="s">
        <v>255</v>
      </c>
      <c r="C119" s="27" t="s">
        <v>381</v>
      </c>
      <c r="D119" s="27">
        <v>0.83820945024490356</v>
      </c>
      <c r="E119" s="16">
        <v>0.37207868695259089</v>
      </c>
      <c r="F119" s="16">
        <v>0.53270137310028076</v>
      </c>
      <c r="G119" s="16">
        <v>0.83820945024490356</v>
      </c>
      <c r="H119" s="16">
        <v>0.68628096580505371</v>
      </c>
    </row>
    <row r="120" spans="1:8">
      <c r="A120" s="5">
        <v>12</v>
      </c>
      <c r="B120" s="5" t="s">
        <v>193</v>
      </c>
      <c r="C120" s="27" t="s">
        <v>381</v>
      </c>
      <c r="D120" s="27">
        <v>0.60584443807601929</v>
      </c>
      <c r="E120" s="16">
        <v>0.27423590421676641</v>
      </c>
      <c r="F120" s="16">
        <v>0.51421248912811279</v>
      </c>
      <c r="G120" s="16">
        <v>0.60584443807601929</v>
      </c>
      <c r="H120" s="16">
        <v>0.30220219492912292</v>
      </c>
    </row>
    <row r="121" spans="1:8">
      <c r="A121" s="5">
        <v>13</v>
      </c>
      <c r="B121" s="5" t="s">
        <v>209</v>
      </c>
      <c r="C121" s="27" t="s">
        <v>381</v>
      </c>
      <c r="D121" s="27">
        <v>0.77767950296401978</v>
      </c>
      <c r="E121" s="16">
        <v>0.40535807609558111</v>
      </c>
      <c r="F121" s="16">
        <v>0.57464408874511719</v>
      </c>
      <c r="G121" s="16">
        <v>0.77767950296401978</v>
      </c>
      <c r="H121" s="16">
        <v>0.64696228504180908</v>
      </c>
    </row>
    <row r="122" spans="1:8">
      <c r="A122" s="5">
        <v>13</v>
      </c>
      <c r="B122" s="5" t="s">
        <v>208</v>
      </c>
      <c r="C122" s="27" t="s">
        <v>381</v>
      </c>
      <c r="D122" s="27">
        <v>0.76980626583099365</v>
      </c>
      <c r="E122" s="16">
        <v>0.48128014802932739</v>
      </c>
      <c r="F122" s="16">
        <v>0.61170732975006104</v>
      </c>
      <c r="G122" s="16">
        <v>0.76980626583099365</v>
      </c>
      <c r="H122" s="16">
        <v>0.71703982353210449</v>
      </c>
    </row>
    <row r="123" spans="1:8">
      <c r="A123" s="5">
        <v>36</v>
      </c>
      <c r="B123" s="5" t="s">
        <v>362</v>
      </c>
      <c r="C123" s="27" t="s">
        <v>376</v>
      </c>
      <c r="D123" s="27">
        <v>0.47186416387557978</v>
      </c>
      <c r="E123" s="16">
        <v>0.33880794048309332</v>
      </c>
      <c r="F123" s="16">
        <v>0.47186416387557978</v>
      </c>
      <c r="G123" s="16">
        <v>0.42410954833030701</v>
      </c>
      <c r="H123" s="16">
        <v>0.25408974289894098</v>
      </c>
    </row>
    <row r="124" spans="1:8">
      <c r="A124" s="5">
        <v>26</v>
      </c>
      <c r="B124" s="5" t="s">
        <v>316</v>
      </c>
      <c r="C124" s="27" t="s">
        <v>376</v>
      </c>
      <c r="D124" s="27">
        <v>0.98259782791137695</v>
      </c>
      <c r="E124" s="16">
        <v>0.52694982290267944</v>
      </c>
      <c r="F124" s="16">
        <v>0.98259782791137695</v>
      </c>
      <c r="G124" s="16">
        <v>0.46698659658432012</v>
      </c>
      <c r="H124" s="16">
        <v>0.39701724052429199</v>
      </c>
    </row>
    <row r="125" spans="1:8">
      <c r="A125" s="5">
        <v>33</v>
      </c>
      <c r="B125" s="5" t="s">
        <v>309</v>
      </c>
      <c r="C125" s="27" t="s">
        <v>376</v>
      </c>
      <c r="D125" s="27">
        <v>0.66345638036727905</v>
      </c>
      <c r="E125" s="16">
        <v>0.51871192455291748</v>
      </c>
      <c r="F125" s="16">
        <v>0.66345638036727905</v>
      </c>
      <c r="G125" s="16">
        <v>0.5505785346031189</v>
      </c>
      <c r="H125" s="16">
        <v>0.50810515880584717</v>
      </c>
    </row>
    <row r="126" spans="1:8">
      <c r="A126" s="5">
        <v>34</v>
      </c>
      <c r="B126" s="5" t="s">
        <v>310</v>
      </c>
      <c r="C126" s="27" t="s">
        <v>376</v>
      </c>
      <c r="D126" s="27">
        <v>0.68380630016326904</v>
      </c>
      <c r="E126" s="16">
        <v>0.59749746322631836</v>
      </c>
      <c r="F126" s="16">
        <v>0.68380630016326904</v>
      </c>
      <c r="G126" s="16">
        <v>0.51176679134368896</v>
      </c>
      <c r="H126" s="16">
        <v>0.55381834506988525</v>
      </c>
    </row>
    <row r="127" spans="1:8">
      <c r="A127" s="5">
        <v>32</v>
      </c>
      <c r="B127" s="5" t="s">
        <v>161</v>
      </c>
      <c r="C127" s="27" t="s">
        <v>376</v>
      </c>
      <c r="D127" s="27">
        <v>0.70609664916992188</v>
      </c>
      <c r="E127" s="16">
        <v>0.49205285310745239</v>
      </c>
      <c r="F127" s="16">
        <v>0.70609664916992188</v>
      </c>
      <c r="G127" s="16">
        <v>0.48313695192337042</v>
      </c>
      <c r="H127" s="16">
        <v>0.46391820907592768</v>
      </c>
    </row>
    <row r="128" spans="1:8">
      <c r="A128" s="5">
        <v>20</v>
      </c>
      <c r="B128" s="5" t="s">
        <v>294</v>
      </c>
      <c r="C128" s="27" t="s">
        <v>376</v>
      </c>
      <c r="D128" s="27">
        <v>0.45877867937088013</v>
      </c>
      <c r="E128" s="16">
        <v>0.44338953495025629</v>
      </c>
      <c r="F128" s="16">
        <v>0.45877867937088013</v>
      </c>
      <c r="G128" s="16">
        <v>0.36829206347465521</v>
      </c>
      <c r="H128" s="16">
        <v>0.28257948160171509</v>
      </c>
    </row>
    <row r="129" spans="1:8">
      <c r="A129" s="5">
        <v>22</v>
      </c>
      <c r="B129" s="5" t="s">
        <v>358</v>
      </c>
      <c r="C129" s="27" t="s">
        <v>376</v>
      </c>
      <c r="D129" s="27">
        <v>0.59159266948699951</v>
      </c>
      <c r="E129" s="16">
        <v>0.54250156879425049</v>
      </c>
      <c r="F129" s="16">
        <v>0.59159266948699951</v>
      </c>
      <c r="G129" s="16">
        <v>0.41677612066268921</v>
      </c>
      <c r="H129" s="16">
        <v>0.40333461761474609</v>
      </c>
    </row>
    <row r="130" spans="1:8">
      <c r="A130" s="5">
        <v>7</v>
      </c>
      <c r="B130" s="5" t="s">
        <v>322</v>
      </c>
      <c r="C130" s="27" t="s">
        <v>376</v>
      </c>
      <c r="D130" s="27">
        <v>0.92331063747406006</v>
      </c>
      <c r="E130" s="16">
        <v>0.59802126884460449</v>
      </c>
      <c r="F130" s="16">
        <v>0.92331063747406006</v>
      </c>
      <c r="G130" s="16">
        <v>0.37583467364311218</v>
      </c>
      <c r="H130" s="16">
        <v>0.1768796443939209</v>
      </c>
    </row>
    <row r="131" spans="1:8">
      <c r="A131" s="5">
        <v>32</v>
      </c>
      <c r="B131" s="5" t="s">
        <v>322</v>
      </c>
      <c r="C131" s="27" t="s">
        <v>376</v>
      </c>
      <c r="D131" s="27">
        <v>0.92331063747406006</v>
      </c>
      <c r="E131" s="16">
        <v>0.59802126884460449</v>
      </c>
      <c r="F131" s="16">
        <v>0.92331063747406006</v>
      </c>
      <c r="G131" s="16">
        <v>0.37583467364311218</v>
      </c>
      <c r="H131" s="16">
        <v>0.1768796443939209</v>
      </c>
    </row>
    <row r="132" spans="1:8">
      <c r="A132" s="5">
        <v>29</v>
      </c>
      <c r="B132" s="5" t="s">
        <v>329</v>
      </c>
      <c r="C132" s="27" t="s">
        <v>376</v>
      </c>
      <c r="D132" s="27">
        <v>0.77271461486816406</v>
      </c>
      <c r="E132" s="16">
        <v>0.48831665515899658</v>
      </c>
      <c r="F132" s="16">
        <v>0.77271461486816406</v>
      </c>
      <c r="G132" s="16">
        <v>0.30110293626785278</v>
      </c>
      <c r="H132" s="16">
        <v>0.1343693733215332</v>
      </c>
    </row>
    <row r="133" spans="1:8">
      <c r="A133" s="5">
        <v>31</v>
      </c>
      <c r="B133" s="5" t="s">
        <v>160</v>
      </c>
      <c r="C133" s="27" t="s">
        <v>376</v>
      </c>
      <c r="D133" s="27">
        <v>0.56673109531402588</v>
      </c>
      <c r="E133" s="16">
        <v>0.3946709930896759</v>
      </c>
      <c r="F133" s="16">
        <v>0.56673109531402588</v>
      </c>
      <c r="G133" s="16">
        <v>0.55839109420776367</v>
      </c>
      <c r="H133" s="16">
        <v>0.5334550142288208</v>
      </c>
    </row>
    <row r="134" spans="1:8">
      <c r="A134" s="5">
        <v>18</v>
      </c>
      <c r="B134" s="5" t="s">
        <v>353</v>
      </c>
      <c r="C134" s="27" t="s">
        <v>376</v>
      </c>
      <c r="D134" s="27">
        <v>0.58293217420578003</v>
      </c>
      <c r="E134" s="16">
        <v>0.42472392320632929</v>
      </c>
      <c r="F134" s="16">
        <v>0.58293217420578003</v>
      </c>
      <c r="G134" s="16">
        <v>0.31255942583084112</v>
      </c>
      <c r="H134" s="16">
        <v>0.21418027579784391</v>
      </c>
    </row>
    <row r="135" spans="1:8">
      <c r="A135" s="5">
        <v>20</v>
      </c>
      <c r="B135" s="5" t="s">
        <v>155</v>
      </c>
      <c r="C135" s="27" t="s">
        <v>376</v>
      </c>
      <c r="D135" s="27">
        <v>0.58168208599090576</v>
      </c>
      <c r="E135" s="16">
        <v>0.46581292152404791</v>
      </c>
      <c r="F135" s="16">
        <v>0.58168208599090576</v>
      </c>
      <c r="G135" s="16">
        <v>0.39876627922058111</v>
      </c>
      <c r="H135" s="16">
        <v>0.32213938236236572</v>
      </c>
    </row>
    <row r="136" spans="1:8">
      <c r="A136" s="5">
        <v>32</v>
      </c>
      <c r="B136" s="5" t="s">
        <v>283</v>
      </c>
      <c r="C136" s="27" t="s">
        <v>376</v>
      </c>
      <c r="D136" s="27">
        <v>0.50776839256286621</v>
      </c>
      <c r="E136" s="16">
        <v>0.29763332009315491</v>
      </c>
      <c r="F136" s="16">
        <v>0.50776839256286621</v>
      </c>
      <c r="G136" s="16">
        <v>0.42988613247871399</v>
      </c>
      <c r="H136" s="16">
        <v>0.3892742395401001</v>
      </c>
    </row>
    <row r="137" spans="1:8">
      <c r="A137" s="5">
        <v>32</v>
      </c>
      <c r="B137" s="5" t="s">
        <v>234</v>
      </c>
      <c r="C137" s="27" t="s">
        <v>376</v>
      </c>
      <c r="D137" s="27">
        <v>0.42136621475219732</v>
      </c>
      <c r="E137" s="16">
        <v>0.20662648975849149</v>
      </c>
      <c r="F137" s="16">
        <v>0.42136621475219732</v>
      </c>
      <c r="G137" s="16">
        <v>0.38326364755630488</v>
      </c>
      <c r="H137" s="16">
        <v>0.35336726903915411</v>
      </c>
    </row>
    <row r="138" spans="1:8">
      <c r="A138" s="5">
        <v>37</v>
      </c>
      <c r="B138" s="5" t="s">
        <v>268</v>
      </c>
      <c r="C138" s="27" t="s">
        <v>376</v>
      </c>
      <c r="D138" s="27">
        <v>0.82466238737106323</v>
      </c>
      <c r="E138" s="16">
        <v>0.48231261968612671</v>
      </c>
      <c r="F138" s="16">
        <v>0.82466238737106323</v>
      </c>
      <c r="G138" s="16">
        <v>0.6057274341583252</v>
      </c>
      <c r="H138" s="16">
        <v>0.56731170415878296</v>
      </c>
    </row>
    <row r="139" spans="1:8">
      <c r="A139" s="5">
        <v>1</v>
      </c>
      <c r="B139" s="5" t="s">
        <v>272</v>
      </c>
      <c r="C139" s="27" t="s">
        <v>376</v>
      </c>
      <c r="D139" s="27">
        <v>0.41833174228668207</v>
      </c>
      <c r="E139" s="16">
        <v>0.40159094333648682</v>
      </c>
      <c r="F139" s="16">
        <v>0.41833174228668207</v>
      </c>
      <c r="G139" s="16">
        <v>0.4109387993812561</v>
      </c>
      <c r="H139" s="16">
        <v>0.31008750200271612</v>
      </c>
    </row>
    <row r="140" spans="1:8">
      <c r="A140" s="5">
        <v>30</v>
      </c>
      <c r="B140" s="5" t="s">
        <v>139</v>
      </c>
      <c r="C140" s="27" t="s">
        <v>376</v>
      </c>
      <c r="D140" s="27">
        <v>0.553672194480896</v>
      </c>
      <c r="E140" s="16">
        <v>0.53654968738555908</v>
      </c>
      <c r="F140" s="16">
        <v>0.553672194480896</v>
      </c>
      <c r="G140" s="16">
        <v>0.35328292846679688</v>
      </c>
      <c r="H140" s="16">
        <v>0.26978296041488647</v>
      </c>
    </row>
    <row r="141" spans="1:8">
      <c r="A141" s="5">
        <v>31</v>
      </c>
      <c r="B141" s="5" t="s">
        <v>259</v>
      </c>
      <c r="C141" s="27" t="s">
        <v>376</v>
      </c>
      <c r="D141" s="27">
        <v>0.45069247484207148</v>
      </c>
      <c r="E141" s="16">
        <v>0.36937883496284479</v>
      </c>
      <c r="F141" s="16">
        <v>0.45069247484207148</v>
      </c>
      <c r="G141" s="16">
        <v>0.33990144729614258</v>
      </c>
      <c r="H141" s="16">
        <v>0.15686692297458649</v>
      </c>
    </row>
    <row r="142" spans="1:8">
      <c r="A142" s="5">
        <v>7</v>
      </c>
      <c r="B142" s="5" t="s">
        <v>332</v>
      </c>
      <c r="C142" s="27" t="s">
        <v>376</v>
      </c>
      <c r="D142" s="27">
        <v>0.543052077293396</v>
      </c>
      <c r="E142" s="16">
        <v>0.27721178531646729</v>
      </c>
      <c r="F142" s="16">
        <v>0.543052077293396</v>
      </c>
      <c r="G142" s="16">
        <v>0.30706548690795898</v>
      </c>
      <c r="H142" s="16">
        <v>0.13448083400726321</v>
      </c>
    </row>
    <row r="143" spans="1:8">
      <c r="A143" s="5">
        <v>22</v>
      </c>
      <c r="B143" s="5" t="s">
        <v>152</v>
      </c>
      <c r="C143" s="27" t="s">
        <v>376</v>
      </c>
      <c r="D143" s="27">
        <v>0.4697837233543396</v>
      </c>
      <c r="E143" s="16">
        <v>0.36625134944915771</v>
      </c>
      <c r="F143" s="16">
        <v>0.4697837233543396</v>
      </c>
      <c r="G143" s="16">
        <v>0.32307937741279602</v>
      </c>
      <c r="H143" s="16">
        <v>0.39491084218025208</v>
      </c>
    </row>
    <row r="144" spans="1:8">
      <c r="A144" s="5">
        <v>15</v>
      </c>
      <c r="B144" s="5" t="s">
        <v>54</v>
      </c>
      <c r="C144" s="27" t="s">
        <v>376</v>
      </c>
      <c r="D144" s="27">
        <v>0.44016420841217041</v>
      </c>
      <c r="E144" s="16">
        <v>0.31011852622032171</v>
      </c>
      <c r="F144" s="16">
        <v>0.44016420841217041</v>
      </c>
      <c r="G144" s="16">
        <v>0.42039394378662109</v>
      </c>
      <c r="H144" s="16">
        <v>0.39554762840271002</v>
      </c>
    </row>
    <row r="145" spans="1:8">
      <c r="A145" s="5">
        <v>12</v>
      </c>
      <c r="B145" s="5" t="s">
        <v>154</v>
      </c>
      <c r="C145" s="27" t="s">
        <v>376</v>
      </c>
      <c r="D145" s="27">
        <v>0.46336361765861511</v>
      </c>
      <c r="E145" s="16">
        <v>0.39269030094146729</v>
      </c>
      <c r="F145" s="16">
        <v>0.46336361765861511</v>
      </c>
      <c r="G145" s="16">
        <v>0.42146545648574829</v>
      </c>
      <c r="H145" s="16">
        <v>0.32726481556892401</v>
      </c>
    </row>
    <row r="146" spans="1:8">
      <c r="A146" s="5">
        <v>33</v>
      </c>
      <c r="B146" s="5" t="s">
        <v>237</v>
      </c>
      <c r="C146" s="27" t="s">
        <v>376</v>
      </c>
      <c r="D146" s="27">
        <v>0.44192013144493097</v>
      </c>
      <c r="E146" s="16">
        <v>0.41144746541976929</v>
      </c>
      <c r="F146" s="16">
        <v>0.44192013144493097</v>
      </c>
      <c r="G146" s="16">
        <v>0.31658107042312622</v>
      </c>
      <c r="H146" s="16">
        <v>0.34043529629707342</v>
      </c>
    </row>
    <row r="147" spans="1:8">
      <c r="A147" s="5">
        <v>32</v>
      </c>
      <c r="B147" s="5" t="s">
        <v>237</v>
      </c>
      <c r="C147" s="27" t="s">
        <v>376</v>
      </c>
      <c r="D147" s="27">
        <v>0.44192013144493097</v>
      </c>
      <c r="E147" s="16">
        <v>0.41144746541976929</v>
      </c>
      <c r="F147" s="16">
        <v>0.44192013144493097</v>
      </c>
      <c r="G147" s="16">
        <v>0.31658107042312622</v>
      </c>
      <c r="H147" s="16">
        <v>0.34043529629707342</v>
      </c>
    </row>
    <row r="148" spans="1:8">
      <c r="A148" s="5">
        <v>21</v>
      </c>
      <c r="B148" s="5" t="s">
        <v>357</v>
      </c>
      <c r="C148" s="27" t="s">
        <v>376</v>
      </c>
      <c r="D148" s="27">
        <v>0.55362355709075928</v>
      </c>
      <c r="E148" s="16">
        <v>0.47872641682624822</v>
      </c>
      <c r="F148" s="16">
        <v>0.55362355709075928</v>
      </c>
      <c r="G148" s="16">
        <v>0.32464832067489618</v>
      </c>
      <c r="H148" s="16">
        <v>0.1797073036432266</v>
      </c>
    </row>
    <row r="149" spans="1:8">
      <c r="A149" s="5">
        <v>24</v>
      </c>
      <c r="B149" s="5" t="s">
        <v>281</v>
      </c>
      <c r="C149" s="27" t="s">
        <v>376</v>
      </c>
      <c r="D149" s="27">
        <v>0.5033600926399231</v>
      </c>
      <c r="E149" s="16">
        <v>0.29790130257606512</v>
      </c>
      <c r="F149" s="16">
        <v>0.5033600926399231</v>
      </c>
      <c r="G149" s="16">
        <v>0.41243937611579901</v>
      </c>
      <c r="H149" s="16">
        <v>0.20644174516201019</v>
      </c>
    </row>
    <row r="150" spans="1:8">
      <c r="A150" s="5">
        <v>13</v>
      </c>
      <c r="B150" s="5" t="s">
        <v>324</v>
      </c>
      <c r="C150" s="27" t="s">
        <v>376</v>
      </c>
      <c r="D150" s="27">
        <v>0.88605219125747681</v>
      </c>
      <c r="E150" s="16">
        <v>0.6121705174446106</v>
      </c>
      <c r="F150" s="16">
        <v>0.88605219125747681</v>
      </c>
      <c r="G150" s="16">
        <v>0.37061050534248352</v>
      </c>
      <c r="H150" s="16">
        <v>0.18222786486148829</v>
      </c>
    </row>
    <row r="151" spans="1:8">
      <c r="A151" s="5">
        <v>14</v>
      </c>
      <c r="B151" s="5" t="s">
        <v>324</v>
      </c>
      <c r="C151" s="27" t="s">
        <v>376</v>
      </c>
      <c r="D151" s="27">
        <v>0.88605219125747681</v>
      </c>
      <c r="E151" s="16">
        <v>0.6121705174446106</v>
      </c>
      <c r="F151" s="16">
        <v>0.88605219125747681</v>
      </c>
      <c r="G151" s="16">
        <v>0.37061050534248352</v>
      </c>
      <c r="H151" s="16">
        <v>0.18222786486148829</v>
      </c>
    </row>
    <row r="152" spans="1:8">
      <c r="A152" s="5">
        <v>3</v>
      </c>
      <c r="B152" s="5" t="s">
        <v>320</v>
      </c>
      <c r="C152" s="27" t="s">
        <v>376</v>
      </c>
      <c r="D152" s="27">
        <v>0.845589280128479</v>
      </c>
      <c r="E152" s="16">
        <v>0.60288965702056885</v>
      </c>
      <c r="F152" s="16">
        <v>0.845589280128479</v>
      </c>
      <c r="G152" s="16">
        <v>0.35964888334274292</v>
      </c>
      <c r="H152" s="16">
        <v>0.20356537401676181</v>
      </c>
    </row>
    <row r="153" spans="1:8">
      <c r="A153" s="5">
        <v>28</v>
      </c>
      <c r="B153" s="5" t="s">
        <v>359</v>
      </c>
      <c r="C153" s="27" t="s">
        <v>376</v>
      </c>
      <c r="D153" s="27">
        <v>0.84536230564117432</v>
      </c>
      <c r="E153" s="16">
        <v>0.61278939247131348</v>
      </c>
      <c r="F153" s="16">
        <v>0.84536230564117432</v>
      </c>
      <c r="G153" s="16">
        <v>0.31916311383247381</v>
      </c>
      <c r="H153" s="16">
        <v>0.1803337037563324</v>
      </c>
    </row>
    <row r="154" spans="1:8">
      <c r="A154" s="5">
        <v>37</v>
      </c>
      <c r="B154" s="5" t="s">
        <v>348</v>
      </c>
      <c r="C154" s="27" t="s">
        <v>376</v>
      </c>
      <c r="D154" s="27">
        <v>0.79515993595123291</v>
      </c>
      <c r="E154" s="16">
        <v>0.38896220922470093</v>
      </c>
      <c r="F154" s="16">
        <v>0.79515993595123291</v>
      </c>
      <c r="G154" s="16">
        <v>0.43753615021705627</v>
      </c>
      <c r="H154" s="16">
        <v>0.39402246475219732</v>
      </c>
    </row>
    <row r="155" spans="1:8">
      <c r="A155" s="5">
        <v>36</v>
      </c>
      <c r="B155" s="5" t="s">
        <v>343</v>
      </c>
      <c r="C155" s="27" t="s">
        <v>376</v>
      </c>
      <c r="D155" s="27">
        <v>0.76432168483734131</v>
      </c>
      <c r="E155" s="16">
        <v>0.51206296682357788</v>
      </c>
      <c r="F155" s="16">
        <v>0.76432168483734131</v>
      </c>
      <c r="G155" s="16">
        <v>0.2404807507991791</v>
      </c>
      <c r="H155" s="16">
        <v>0.18957312405109411</v>
      </c>
    </row>
    <row r="156" spans="1:8">
      <c r="A156" s="5">
        <v>9</v>
      </c>
      <c r="B156" s="5" t="s">
        <v>333</v>
      </c>
      <c r="C156" s="27" t="s">
        <v>376</v>
      </c>
      <c r="D156" s="27">
        <v>0.8045276403427124</v>
      </c>
      <c r="E156" s="16">
        <v>0.51111435890197754</v>
      </c>
      <c r="F156" s="16">
        <v>0.8045276403427124</v>
      </c>
      <c r="G156" s="16">
        <v>0.30246084928512568</v>
      </c>
      <c r="H156" s="16">
        <v>0.14845600724220279</v>
      </c>
    </row>
    <row r="157" spans="1:8">
      <c r="A157" s="5">
        <v>20</v>
      </c>
      <c r="B157" s="5" t="s">
        <v>333</v>
      </c>
      <c r="C157" s="27" t="s">
        <v>376</v>
      </c>
      <c r="D157" s="27">
        <v>0.8045276403427124</v>
      </c>
      <c r="E157" s="16">
        <v>0.51111435890197754</v>
      </c>
      <c r="F157" s="16">
        <v>0.8045276403427124</v>
      </c>
      <c r="G157" s="16">
        <v>0.30246084928512568</v>
      </c>
      <c r="H157" s="16">
        <v>0.14845600724220279</v>
      </c>
    </row>
    <row r="158" spans="1:8">
      <c r="A158" s="5">
        <v>23</v>
      </c>
      <c r="B158" s="5" t="s">
        <v>325</v>
      </c>
      <c r="C158" s="27" t="s">
        <v>376</v>
      </c>
      <c r="D158" s="27">
        <v>0.75340157747268677</v>
      </c>
      <c r="E158" s="16">
        <v>0.52182435989379883</v>
      </c>
      <c r="F158" s="16">
        <v>0.75340157747268677</v>
      </c>
      <c r="G158" s="16">
        <v>0.24765689671039581</v>
      </c>
      <c r="H158" s="16">
        <v>0.13602280616760251</v>
      </c>
    </row>
    <row r="159" spans="1:8">
      <c r="A159" s="5">
        <v>11</v>
      </c>
      <c r="B159" s="5" t="s">
        <v>314</v>
      </c>
      <c r="C159" s="27" t="s">
        <v>376</v>
      </c>
      <c r="D159" s="27">
        <v>0.91394340991973877</v>
      </c>
      <c r="E159" s="16">
        <v>0.58593851327896118</v>
      </c>
      <c r="F159" s="16">
        <v>0.91394340991973877</v>
      </c>
      <c r="G159" s="16">
        <v>0.3694339394569397</v>
      </c>
      <c r="H159" s="16">
        <v>0.19226877391338351</v>
      </c>
    </row>
    <row r="160" spans="1:8">
      <c r="A160" s="5">
        <v>2</v>
      </c>
      <c r="B160" s="5" t="s">
        <v>314</v>
      </c>
      <c r="C160" s="27" t="s">
        <v>376</v>
      </c>
      <c r="D160" s="27">
        <v>0.91394340991973877</v>
      </c>
      <c r="E160" s="16">
        <v>0.58593851327896118</v>
      </c>
      <c r="F160" s="16">
        <v>0.91394340991973877</v>
      </c>
      <c r="G160" s="16">
        <v>0.3694339394569397</v>
      </c>
      <c r="H160" s="16">
        <v>0.19226877391338351</v>
      </c>
    </row>
    <row r="161" spans="1:8">
      <c r="A161" s="5">
        <v>9</v>
      </c>
      <c r="B161" s="5" t="s">
        <v>314</v>
      </c>
      <c r="C161" s="27" t="s">
        <v>376</v>
      </c>
      <c r="D161" s="27">
        <v>0.91394340991973877</v>
      </c>
      <c r="E161" s="16">
        <v>0.58593851327896118</v>
      </c>
      <c r="F161" s="16">
        <v>0.91394340991973877</v>
      </c>
      <c r="G161" s="16">
        <v>0.3694339394569397</v>
      </c>
      <c r="H161" s="16">
        <v>0.19226877391338351</v>
      </c>
    </row>
    <row r="162" spans="1:8">
      <c r="A162" s="5">
        <v>37</v>
      </c>
      <c r="B162" s="5" t="s">
        <v>314</v>
      </c>
      <c r="C162" s="27" t="s">
        <v>376</v>
      </c>
      <c r="D162" s="27">
        <v>0.91394340991973877</v>
      </c>
      <c r="E162" s="16">
        <v>0.58593851327896118</v>
      </c>
      <c r="F162" s="16">
        <v>0.91394340991973877</v>
      </c>
      <c r="G162" s="16">
        <v>0.3694339394569397</v>
      </c>
      <c r="H162" s="16">
        <v>0.19226877391338351</v>
      </c>
    </row>
    <row r="163" spans="1:8">
      <c r="A163" s="5">
        <v>37</v>
      </c>
      <c r="B163" s="5" t="s">
        <v>314</v>
      </c>
      <c r="C163" s="27" t="s">
        <v>376</v>
      </c>
      <c r="D163" s="27">
        <v>0.91394340991973877</v>
      </c>
      <c r="E163" s="16">
        <v>0.58593851327896118</v>
      </c>
      <c r="F163" s="16">
        <v>0.91394340991973877</v>
      </c>
      <c r="G163" s="16">
        <v>0.3694339394569397</v>
      </c>
      <c r="H163" s="16">
        <v>0.19226877391338351</v>
      </c>
    </row>
    <row r="164" spans="1:8">
      <c r="A164" s="5">
        <v>26</v>
      </c>
      <c r="B164" s="5" t="s">
        <v>336</v>
      </c>
      <c r="C164" s="27" t="s">
        <v>376</v>
      </c>
      <c r="D164" s="27">
        <v>0.86518943309783936</v>
      </c>
      <c r="E164" s="16">
        <v>0.56827652454376221</v>
      </c>
      <c r="F164" s="16">
        <v>0.86518943309783936</v>
      </c>
      <c r="G164" s="16">
        <v>0.30082264542579651</v>
      </c>
      <c r="H164" s="16">
        <v>0.20683714747428891</v>
      </c>
    </row>
    <row r="165" spans="1:8">
      <c r="A165" s="5">
        <v>23</v>
      </c>
      <c r="B165" s="5" t="s">
        <v>326</v>
      </c>
      <c r="C165" s="27" t="s">
        <v>376</v>
      </c>
      <c r="D165" s="27">
        <v>0.54495358467102051</v>
      </c>
      <c r="E165" s="16">
        <v>0.39873200654983521</v>
      </c>
      <c r="F165" s="16">
        <v>0.54495358467102051</v>
      </c>
      <c r="G165" s="16">
        <v>0.31977695226669312</v>
      </c>
      <c r="H165" s="16">
        <v>8.9743606746196747E-2</v>
      </c>
    </row>
    <row r="166" spans="1:8">
      <c r="A166" s="5">
        <v>33</v>
      </c>
      <c r="B166" s="5" t="s">
        <v>238</v>
      </c>
      <c r="C166" s="27" t="s">
        <v>376</v>
      </c>
      <c r="D166" s="27">
        <v>0.63371771574020386</v>
      </c>
      <c r="E166" s="16">
        <v>0.51371645927429199</v>
      </c>
      <c r="F166" s="16">
        <v>0.63371771574020386</v>
      </c>
      <c r="G166" s="16">
        <v>0.61435914039611816</v>
      </c>
      <c r="H166" s="16">
        <v>0.57772880792617798</v>
      </c>
    </row>
    <row r="167" spans="1:8">
      <c r="A167" s="5">
        <v>33</v>
      </c>
      <c r="B167" s="5" t="s">
        <v>238</v>
      </c>
      <c r="C167" s="27" t="s">
        <v>376</v>
      </c>
      <c r="D167" s="27">
        <v>0.63371771574020386</v>
      </c>
      <c r="E167" s="16">
        <v>0.51371645927429199</v>
      </c>
      <c r="F167" s="16">
        <v>0.63371771574020386</v>
      </c>
      <c r="G167" s="16">
        <v>0.61435914039611816</v>
      </c>
      <c r="H167" s="16">
        <v>0.57772880792617798</v>
      </c>
    </row>
    <row r="168" spans="1:8">
      <c r="A168" s="5">
        <v>20</v>
      </c>
      <c r="B168" s="5" t="s">
        <v>295</v>
      </c>
      <c r="C168" s="27" t="s">
        <v>376</v>
      </c>
      <c r="D168" s="27">
        <v>0.61647951602935791</v>
      </c>
      <c r="E168" s="16">
        <v>0.42272511124610901</v>
      </c>
      <c r="F168" s="16">
        <v>0.61647951602935791</v>
      </c>
      <c r="G168" s="16">
        <v>0.54687297344207764</v>
      </c>
      <c r="H168" s="16">
        <v>0.51748865842819214</v>
      </c>
    </row>
    <row r="169" spans="1:8">
      <c r="A169" s="5">
        <v>32</v>
      </c>
      <c r="B169" s="5" t="s">
        <v>170</v>
      </c>
      <c r="C169" s="27" t="s">
        <v>376</v>
      </c>
      <c r="D169" s="27">
        <v>0.47654825448989868</v>
      </c>
      <c r="E169" s="16">
        <v>0.37607210874557501</v>
      </c>
      <c r="F169" s="16">
        <v>0.47654825448989868</v>
      </c>
      <c r="G169" s="16">
        <v>0.4661974310874939</v>
      </c>
      <c r="H169" s="16">
        <v>0.25820416212081909</v>
      </c>
    </row>
    <row r="170" spans="1:8">
      <c r="A170" s="5">
        <v>27</v>
      </c>
      <c r="B170" s="5" t="s">
        <v>170</v>
      </c>
      <c r="C170" s="27" t="s">
        <v>376</v>
      </c>
      <c r="D170" s="27">
        <v>0.47654825448989868</v>
      </c>
      <c r="E170" s="16">
        <v>0.37607210874557501</v>
      </c>
      <c r="F170" s="16">
        <v>0.47654825448989868</v>
      </c>
      <c r="G170" s="16">
        <v>0.4661974310874939</v>
      </c>
      <c r="H170" s="16">
        <v>0.25820416212081909</v>
      </c>
    </row>
    <row r="171" spans="1:8">
      <c r="A171" s="5">
        <v>16</v>
      </c>
      <c r="B171" s="5" t="s">
        <v>344</v>
      </c>
      <c r="C171" s="27" t="s">
        <v>376</v>
      </c>
      <c r="D171" s="27">
        <v>0.47013413906097412</v>
      </c>
      <c r="E171" s="16">
        <v>0.46685156226158142</v>
      </c>
      <c r="F171" s="16">
        <v>0.47013413906097412</v>
      </c>
      <c r="G171" s="16">
        <v>0.41365471482276922</v>
      </c>
      <c r="H171" s="16">
        <v>0.18818897008895871</v>
      </c>
    </row>
    <row r="172" spans="1:8">
      <c r="A172" s="5">
        <v>20</v>
      </c>
      <c r="B172" s="5" t="s">
        <v>315</v>
      </c>
      <c r="C172" s="27" t="s">
        <v>376</v>
      </c>
      <c r="D172" s="27">
        <v>0.67201995849609375</v>
      </c>
      <c r="E172" s="16">
        <v>0.4009627103805542</v>
      </c>
      <c r="F172" s="16">
        <v>0.67201995849609375</v>
      </c>
      <c r="G172" s="16">
        <v>0.31693205237388611</v>
      </c>
      <c r="H172" s="16">
        <v>0.26290199160575872</v>
      </c>
    </row>
    <row r="173" spans="1:8">
      <c r="A173" s="5">
        <v>37</v>
      </c>
      <c r="B173" s="5" t="s">
        <v>242</v>
      </c>
      <c r="C173" s="27" t="s">
        <v>376</v>
      </c>
      <c r="D173" s="27">
        <v>0.60177898406982422</v>
      </c>
      <c r="E173" s="16">
        <v>0.48096472024917603</v>
      </c>
      <c r="F173" s="16">
        <v>0.60177898406982422</v>
      </c>
      <c r="G173" s="16">
        <v>0.56449681520462036</v>
      </c>
      <c r="H173" s="16">
        <v>0.5812341570854187</v>
      </c>
    </row>
    <row r="174" spans="1:8">
      <c r="A174" s="5">
        <v>38</v>
      </c>
      <c r="B174" s="5" t="s">
        <v>269</v>
      </c>
      <c r="C174" s="27" t="s">
        <v>376</v>
      </c>
      <c r="D174" s="27">
        <v>0.51287323236465454</v>
      </c>
      <c r="E174" s="16">
        <v>0.22416709363460541</v>
      </c>
      <c r="F174" s="16">
        <v>0.51287323236465454</v>
      </c>
      <c r="G174" s="16">
        <v>0.4167124330997467</v>
      </c>
      <c r="H174" s="16">
        <v>0.28753170371055597</v>
      </c>
    </row>
    <row r="175" spans="1:8">
      <c r="A175" s="5">
        <v>35</v>
      </c>
      <c r="B175" s="5" t="s">
        <v>342</v>
      </c>
      <c r="C175" s="27" t="s">
        <v>376</v>
      </c>
      <c r="D175" s="27">
        <v>0.50121068954467773</v>
      </c>
      <c r="E175" s="16">
        <v>0.47465255856513983</v>
      </c>
      <c r="F175" s="16">
        <v>0.50121068954467773</v>
      </c>
      <c r="G175" s="16">
        <v>0.36603677272796631</v>
      </c>
      <c r="H175" s="16">
        <v>0.28533649444580078</v>
      </c>
    </row>
    <row r="176" spans="1:8">
      <c r="A176" s="5">
        <v>25</v>
      </c>
      <c r="B176" s="5" t="s">
        <v>223</v>
      </c>
      <c r="C176" s="27" t="s">
        <v>376</v>
      </c>
      <c r="D176" s="27">
        <v>0.6706433892250061</v>
      </c>
      <c r="E176" s="16">
        <v>0.55019259452819824</v>
      </c>
      <c r="F176" s="16">
        <v>0.6706433892250061</v>
      </c>
      <c r="G176" s="16">
        <v>0.55440402030944824</v>
      </c>
      <c r="H176" s="16">
        <v>0.52196043729782104</v>
      </c>
    </row>
    <row r="177" spans="1:8">
      <c r="A177" s="5">
        <v>13</v>
      </c>
      <c r="B177" s="5" t="s">
        <v>145</v>
      </c>
      <c r="C177" s="27" t="s">
        <v>376</v>
      </c>
      <c r="D177" s="27">
        <v>0.50345826148986816</v>
      </c>
      <c r="E177" s="16">
        <v>0.41753864288330078</v>
      </c>
      <c r="F177" s="16">
        <v>0.50345826148986816</v>
      </c>
      <c r="G177" s="16">
        <v>0.42913573980331421</v>
      </c>
      <c r="H177" s="16">
        <v>0.2091548144817352</v>
      </c>
    </row>
    <row r="178" spans="1:8">
      <c r="A178" s="5">
        <v>20</v>
      </c>
      <c r="B178" s="5" t="s">
        <v>156</v>
      </c>
      <c r="C178" s="27" t="s">
        <v>376</v>
      </c>
      <c r="D178" s="27">
        <v>0.58304852247238159</v>
      </c>
      <c r="E178" s="16">
        <v>0.49903494119644171</v>
      </c>
      <c r="F178" s="16">
        <v>0.58304852247238159</v>
      </c>
      <c r="G178" s="16">
        <v>0.49969819188117981</v>
      </c>
      <c r="H178" s="16">
        <v>0.49349266290664667</v>
      </c>
    </row>
    <row r="179" spans="1:8">
      <c r="A179" s="5">
        <v>37</v>
      </c>
      <c r="B179" s="5" t="s">
        <v>347</v>
      </c>
      <c r="C179" s="27" t="s">
        <v>376</v>
      </c>
      <c r="D179" s="27">
        <v>0.51339161396026611</v>
      </c>
      <c r="E179" s="16">
        <v>0.43194425106048578</v>
      </c>
      <c r="F179" s="16">
        <v>0.51339161396026611</v>
      </c>
      <c r="G179" s="16">
        <v>0.39140668511390692</v>
      </c>
      <c r="H179" s="16">
        <v>0.30576583743095398</v>
      </c>
    </row>
    <row r="180" spans="1:8">
      <c r="A180" s="5">
        <v>28</v>
      </c>
      <c r="B180" s="5" t="s">
        <v>360</v>
      </c>
      <c r="C180" s="27" t="s">
        <v>376</v>
      </c>
      <c r="D180" s="27">
        <v>0.40344327688217158</v>
      </c>
      <c r="E180" s="16">
        <v>0.35863709449768072</v>
      </c>
      <c r="F180" s="16">
        <v>0.40344327688217158</v>
      </c>
      <c r="G180" s="16">
        <v>0.30531084537506098</v>
      </c>
      <c r="H180" s="16">
        <v>0.28597962856292719</v>
      </c>
    </row>
    <row r="181" spans="1:8">
      <c r="A181" s="5">
        <v>18</v>
      </c>
      <c r="B181" s="5" t="s">
        <v>352</v>
      </c>
      <c r="C181" s="27" t="s">
        <v>376</v>
      </c>
      <c r="D181" s="27">
        <v>0.42073330283164978</v>
      </c>
      <c r="E181" s="16">
        <v>0.41070255637168879</v>
      </c>
      <c r="F181" s="16">
        <v>0.42073330283164978</v>
      </c>
      <c r="G181" s="16">
        <v>0.34438753128051758</v>
      </c>
      <c r="H181" s="16">
        <v>0.32114508748054499</v>
      </c>
    </row>
    <row r="182" spans="1:8">
      <c r="A182" s="5">
        <v>20</v>
      </c>
      <c r="B182" s="5" t="s">
        <v>216</v>
      </c>
      <c r="C182" s="27" t="s">
        <v>376</v>
      </c>
      <c r="D182" s="27">
        <v>0.64862847328186035</v>
      </c>
      <c r="E182" s="16">
        <v>0.36585772037506098</v>
      </c>
      <c r="F182" s="16">
        <v>0.64862847328186035</v>
      </c>
      <c r="G182" s="16">
        <v>0.49498391151428223</v>
      </c>
      <c r="H182" s="16">
        <v>0.45377659797668463</v>
      </c>
    </row>
    <row r="183" spans="1:8">
      <c r="A183" s="5">
        <v>32</v>
      </c>
      <c r="B183" s="5" t="s">
        <v>232</v>
      </c>
      <c r="C183" s="27" t="s">
        <v>376</v>
      </c>
      <c r="D183" s="27">
        <v>0.55898016691207886</v>
      </c>
      <c r="E183" s="16">
        <v>0.45644575357437128</v>
      </c>
      <c r="F183" s="16">
        <v>0.55898016691207886</v>
      </c>
      <c r="G183" s="16">
        <v>0.47002875804901117</v>
      </c>
      <c r="H183" s="16">
        <v>0.35137131810188288</v>
      </c>
    </row>
    <row r="184" spans="1:8">
      <c r="A184" s="5">
        <v>25</v>
      </c>
      <c r="B184" s="5" t="s">
        <v>232</v>
      </c>
      <c r="C184" s="27" t="s">
        <v>376</v>
      </c>
      <c r="D184" s="27">
        <v>0.55898016691207886</v>
      </c>
      <c r="E184" s="16">
        <v>0.45644575357437128</v>
      </c>
      <c r="F184" s="16">
        <v>0.55898016691207886</v>
      </c>
      <c r="G184" s="16">
        <v>0.47002875804901117</v>
      </c>
      <c r="H184" s="16">
        <v>0.35137131810188288</v>
      </c>
    </row>
    <row r="185" spans="1:8">
      <c r="A185" s="5">
        <v>40</v>
      </c>
      <c r="B185" s="5" t="s">
        <v>198</v>
      </c>
      <c r="C185" s="27" t="s">
        <v>376</v>
      </c>
      <c r="D185" s="27">
        <v>0.53226566314697266</v>
      </c>
      <c r="E185" s="16">
        <v>0.30522865056991583</v>
      </c>
      <c r="F185" s="16">
        <v>0.53226566314697266</v>
      </c>
      <c r="G185" s="16">
        <v>0.40161454677581793</v>
      </c>
      <c r="H185" s="16">
        <v>0.24474847316741941</v>
      </c>
    </row>
    <row r="186" spans="1:8">
      <c r="A186" s="5">
        <v>28</v>
      </c>
      <c r="B186" s="5" t="s">
        <v>159</v>
      </c>
      <c r="C186" s="27" t="s">
        <v>376</v>
      </c>
      <c r="D186" s="27">
        <v>0.63675940036773682</v>
      </c>
      <c r="E186" s="16">
        <v>0.32723170518875122</v>
      </c>
      <c r="F186" s="16">
        <v>0.63675940036773682</v>
      </c>
      <c r="G186" s="16">
        <v>0.5554732084274292</v>
      </c>
      <c r="H186" s="16">
        <v>0.27425745129585272</v>
      </c>
    </row>
    <row r="187" spans="1:8">
      <c r="A187" s="5">
        <v>41</v>
      </c>
      <c r="B187" s="5" t="s">
        <v>313</v>
      </c>
      <c r="C187" s="27" t="s">
        <v>376</v>
      </c>
      <c r="D187" s="27">
        <v>0.40599536895751948</v>
      </c>
      <c r="E187" s="16">
        <v>0.34646165370941162</v>
      </c>
      <c r="F187" s="16">
        <v>0.40599536895751948</v>
      </c>
      <c r="G187" s="16">
        <v>0.35279721021652222</v>
      </c>
      <c r="H187" s="16">
        <v>0.30765581130981451</v>
      </c>
    </row>
    <row r="188" spans="1:8">
      <c r="A188" s="5">
        <v>2</v>
      </c>
      <c r="B188" s="5" t="s">
        <v>350</v>
      </c>
      <c r="C188" s="27" t="s">
        <v>371</v>
      </c>
      <c r="D188" s="27">
        <v>0.77099519968032837</v>
      </c>
      <c r="E188" s="16">
        <v>0.77099519968032837</v>
      </c>
      <c r="F188" s="16">
        <v>0.4695587158203125</v>
      </c>
      <c r="G188" s="16">
        <v>0.34013849496841431</v>
      </c>
      <c r="H188" s="16">
        <v>0.29586058855056763</v>
      </c>
    </row>
    <row r="189" spans="1:8">
      <c r="A189" s="5">
        <v>11</v>
      </c>
      <c r="B189" s="5" t="s">
        <v>135</v>
      </c>
      <c r="C189" s="27" t="s">
        <v>371</v>
      </c>
      <c r="D189" s="27">
        <v>0.4037889838218689</v>
      </c>
      <c r="E189" s="16">
        <v>0.4037889838218689</v>
      </c>
      <c r="F189" s="16">
        <v>0.38690850138664251</v>
      </c>
      <c r="G189" s="16">
        <v>0.3081703782081604</v>
      </c>
      <c r="H189" s="16">
        <v>0.20941391587257391</v>
      </c>
    </row>
    <row r="190" spans="1:8">
      <c r="A190" s="5">
        <v>27</v>
      </c>
      <c r="B190" s="5" t="s">
        <v>146</v>
      </c>
      <c r="C190" s="27" t="s">
        <v>371</v>
      </c>
      <c r="D190" s="27">
        <v>0.46175381541252142</v>
      </c>
      <c r="E190" s="16">
        <v>0.46175381541252142</v>
      </c>
      <c r="F190" s="16">
        <v>0.35507053136825562</v>
      </c>
      <c r="G190" s="16">
        <v>0.33667054772377009</v>
      </c>
      <c r="H190" s="16">
        <v>0.242431640625</v>
      </c>
    </row>
    <row r="191" spans="1:8">
      <c r="A191" s="5">
        <v>7</v>
      </c>
      <c r="B191" s="5" t="s">
        <v>174</v>
      </c>
      <c r="C191" s="27" t="s">
        <v>371</v>
      </c>
      <c r="D191" s="27">
        <v>0.44672814011573792</v>
      </c>
      <c r="E191" s="16">
        <v>0.44672814011573792</v>
      </c>
      <c r="F191" s="16">
        <v>0.33247166872024542</v>
      </c>
      <c r="G191" s="16">
        <v>0.43231630325317377</v>
      </c>
      <c r="H191" s="16">
        <v>0.25707897543907171</v>
      </c>
    </row>
    <row r="192" spans="1:8">
      <c r="A192" s="5">
        <v>20</v>
      </c>
      <c r="B192" s="5" t="s">
        <v>174</v>
      </c>
      <c r="C192" s="27" t="s">
        <v>371</v>
      </c>
      <c r="D192" s="27">
        <v>0.44672814011573792</v>
      </c>
      <c r="E192" s="16">
        <v>0.44672814011573792</v>
      </c>
      <c r="F192" s="16">
        <v>0.33247166872024542</v>
      </c>
      <c r="G192" s="16">
        <v>0.43231630325317377</v>
      </c>
      <c r="H192" s="16">
        <v>0.25707897543907171</v>
      </c>
    </row>
    <row r="193" spans="1:8">
      <c r="A193" s="5">
        <v>25</v>
      </c>
      <c r="B193" s="5" t="s">
        <v>157</v>
      </c>
      <c r="C193" s="27" t="s">
        <v>371</v>
      </c>
      <c r="D193" s="27">
        <v>0.5095636248588562</v>
      </c>
      <c r="E193" s="16">
        <v>0.5095636248588562</v>
      </c>
      <c r="F193" s="16">
        <v>0.40008500218391418</v>
      </c>
      <c r="G193" s="16">
        <v>0.47814178466796881</v>
      </c>
      <c r="H193" s="16">
        <v>0.28834563493728638</v>
      </c>
    </row>
    <row r="194" spans="1:8">
      <c r="A194" s="5">
        <v>20</v>
      </c>
      <c r="B194" s="5" t="s">
        <v>356</v>
      </c>
      <c r="C194" s="27" t="s">
        <v>371</v>
      </c>
      <c r="D194" s="27">
        <v>0.57583880424499512</v>
      </c>
      <c r="E194" s="16">
        <v>0.57583880424499512</v>
      </c>
      <c r="F194" s="16">
        <v>0.49824941158294678</v>
      </c>
      <c r="G194" s="16">
        <v>0.38494917750358582</v>
      </c>
      <c r="H194" s="16">
        <v>0.27707093954086298</v>
      </c>
    </row>
    <row r="195" spans="1:8">
      <c r="A195" s="5">
        <v>40</v>
      </c>
      <c r="B195" s="5" t="s">
        <v>143</v>
      </c>
      <c r="C195" s="27" t="s">
        <v>371</v>
      </c>
      <c r="D195" s="27">
        <v>0.43738925457000732</v>
      </c>
      <c r="E195" s="16">
        <v>0.43738925457000732</v>
      </c>
      <c r="F195" s="16">
        <v>0.43595233559608459</v>
      </c>
      <c r="G195" s="16">
        <v>0.35107642412185669</v>
      </c>
      <c r="H195" s="16">
        <v>0.26689696311950678</v>
      </c>
    </row>
    <row r="196" spans="1:8">
      <c r="A196" s="5">
        <v>8</v>
      </c>
      <c r="B196" s="5" t="s">
        <v>124</v>
      </c>
      <c r="C196" s="27" t="s">
        <v>371</v>
      </c>
      <c r="D196" s="27">
        <v>0.52559077739715576</v>
      </c>
      <c r="E196" s="16">
        <v>0.52559077739715576</v>
      </c>
      <c r="F196" s="16">
        <v>0.50223410129547119</v>
      </c>
      <c r="G196" s="16">
        <v>0.34440940618515009</v>
      </c>
      <c r="H196" s="16">
        <v>0.187906488776207</v>
      </c>
    </row>
    <row r="197" spans="1:8">
      <c r="A197" s="5">
        <v>40</v>
      </c>
      <c r="B197" s="5" t="s">
        <v>318</v>
      </c>
      <c r="C197" s="27" t="s">
        <v>371</v>
      </c>
      <c r="D197" s="27">
        <v>0.4539826512336731</v>
      </c>
      <c r="E197" s="16">
        <v>0.4539826512336731</v>
      </c>
      <c r="F197" s="16">
        <v>0.40417039394378662</v>
      </c>
      <c r="G197" s="16">
        <v>0.43123504519462591</v>
      </c>
      <c r="H197" s="16">
        <v>0.19381766021251681</v>
      </c>
    </row>
    <row r="198" spans="1:8">
      <c r="A198" s="5">
        <v>14</v>
      </c>
      <c r="B198" s="5" t="s">
        <v>177</v>
      </c>
      <c r="C198" s="27" t="s">
        <v>371</v>
      </c>
      <c r="D198" s="27">
        <v>0.48804077506065369</v>
      </c>
      <c r="E198" s="16">
        <v>0.48804077506065369</v>
      </c>
      <c r="F198" s="16">
        <v>0.42221570014953608</v>
      </c>
      <c r="G198" s="16">
        <v>0.42912775278091431</v>
      </c>
      <c r="H198" s="16">
        <v>0.36027908325195313</v>
      </c>
    </row>
    <row r="199" spans="1:8">
      <c r="A199" s="5">
        <v>14</v>
      </c>
      <c r="B199" s="5" t="s">
        <v>176</v>
      </c>
      <c r="C199" s="27" t="s">
        <v>371</v>
      </c>
      <c r="D199" s="27">
        <v>0.49761539697647089</v>
      </c>
      <c r="E199" s="16">
        <v>0.49761539697647089</v>
      </c>
      <c r="F199" s="16">
        <v>0.49540913105010992</v>
      </c>
      <c r="G199" s="16">
        <v>0.41850316524505621</v>
      </c>
      <c r="H199" s="16">
        <v>0.33422756195068359</v>
      </c>
    </row>
    <row r="200" spans="1:8">
      <c r="A200" s="5">
        <v>20</v>
      </c>
      <c r="B200" s="5" t="s">
        <v>178</v>
      </c>
      <c r="C200" s="27" t="s">
        <v>371</v>
      </c>
      <c r="D200" s="27">
        <v>0.43694281578063959</v>
      </c>
      <c r="E200" s="16">
        <v>0.43694281578063959</v>
      </c>
      <c r="F200" s="16">
        <v>0.37122213840484619</v>
      </c>
      <c r="G200" s="16">
        <v>0.4323810338973999</v>
      </c>
      <c r="H200" s="16">
        <v>0.33356061577796942</v>
      </c>
    </row>
    <row r="201" spans="1:8">
      <c r="A201" s="5">
        <v>11</v>
      </c>
      <c r="B201" s="5" t="s">
        <v>166</v>
      </c>
      <c r="C201" s="27" t="s">
        <v>371</v>
      </c>
      <c r="D201" s="27">
        <v>0.48834368586540222</v>
      </c>
      <c r="E201" s="16">
        <v>0.48834368586540222</v>
      </c>
      <c r="F201" s="16">
        <v>0.46252325177192688</v>
      </c>
      <c r="G201" s="16">
        <v>0.39051783084869379</v>
      </c>
      <c r="H201" s="16">
        <v>0.3597990870475769</v>
      </c>
    </row>
    <row r="202" spans="1:8">
      <c r="A202" s="5">
        <v>8</v>
      </c>
      <c r="B202" s="5" t="s">
        <v>175</v>
      </c>
      <c r="C202" s="27" t="s">
        <v>371</v>
      </c>
      <c r="D202" s="27">
        <v>0.48162472248077393</v>
      </c>
      <c r="E202" s="16">
        <v>0.48162472248077393</v>
      </c>
      <c r="F202" s="16">
        <v>0.37602382898330688</v>
      </c>
      <c r="G202" s="16">
        <v>0.42468279600143433</v>
      </c>
      <c r="H202" s="16">
        <v>0.28934872150421143</v>
      </c>
    </row>
    <row r="203" spans="1:8">
      <c r="A203" s="5">
        <v>12</v>
      </c>
      <c r="B203" s="5" t="s">
        <v>207</v>
      </c>
      <c r="C203" s="27" t="s">
        <v>371</v>
      </c>
      <c r="D203" s="27">
        <v>0.56151711940765381</v>
      </c>
      <c r="E203" s="16">
        <v>0.56151711940765381</v>
      </c>
      <c r="F203" s="16">
        <v>0.47247850894927979</v>
      </c>
      <c r="G203" s="16">
        <v>0.38228553533554083</v>
      </c>
      <c r="H203" s="16">
        <v>0.37928682565689092</v>
      </c>
    </row>
    <row r="204" spans="1:8">
      <c r="A204" s="5">
        <v>8</v>
      </c>
      <c r="B204" s="5" t="s">
        <v>253</v>
      </c>
      <c r="C204" s="27" t="s">
        <v>371</v>
      </c>
      <c r="D204" s="27">
        <v>0.49576979875564581</v>
      </c>
      <c r="E204" s="16">
        <v>0.49576979875564581</v>
      </c>
      <c r="F204" s="16">
        <v>0.354715496301651</v>
      </c>
      <c r="G204" s="16">
        <v>0.40599316358566279</v>
      </c>
      <c r="H204" s="16">
        <v>0.31750506162643433</v>
      </c>
    </row>
    <row r="205" spans="1:8">
      <c r="A205" s="5">
        <v>20</v>
      </c>
      <c r="B205" s="5" t="s">
        <v>253</v>
      </c>
      <c r="C205" s="27" t="s">
        <v>371</v>
      </c>
      <c r="D205" s="27">
        <v>0.49576979875564581</v>
      </c>
      <c r="E205" s="16">
        <v>0.49576979875564581</v>
      </c>
      <c r="F205" s="16">
        <v>0.354715496301651</v>
      </c>
      <c r="G205" s="16">
        <v>0.40599316358566279</v>
      </c>
      <c r="H205" s="16">
        <v>0.31750506162643433</v>
      </c>
    </row>
    <row r="206" spans="1:8">
      <c r="A206" s="5">
        <v>8</v>
      </c>
      <c r="B206" s="5" t="s">
        <v>163</v>
      </c>
      <c r="C206" s="27" t="s">
        <v>371</v>
      </c>
      <c r="D206" s="27">
        <v>0.45642712712287897</v>
      </c>
      <c r="E206" s="16">
        <v>0.45642712712287897</v>
      </c>
      <c r="F206" s="16">
        <v>0.2293719947338104</v>
      </c>
      <c r="G206" s="16">
        <v>0.39140182733535772</v>
      </c>
      <c r="H206" s="16">
        <v>0.26586586236953741</v>
      </c>
    </row>
    <row r="207" spans="1:8">
      <c r="A207" s="5">
        <v>11</v>
      </c>
      <c r="B207" s="5" t="s">
        <v>163</v>
      </c>
      <c r="C207" s="27" t="s">
        <v>371</v>
      </c>
      <c r="D207" s="27">
        <v>0.45642712712287897</v>
      </c>
      <c r="E207" s="16">
        <v>0.45642712712287897</v>
      </c>
      <c r="F207" s="16">
        <v>0.2293719947338104</v>
      </c>
      <c r="G207" s="16">
        <v>0.39140182733535772</v>
      </c>
      <c r="H207" s="16">
        <v>0.26586586236953741</v>
      </c>
    </row>
    <row r="208" spans="1:8">
      <c r="A208" s="5">
        <v>40</v>
      </c>
      <c r="B208" s="5" t="s">
        <v>247</v>
      </c>
      <c r="C208" s="27" t="s">
        <v>371</v>
      </c>
      <c r="D208" s="27">
        <v>0.40443810820579529</v>
      </c>
      <c r="E208" s="16">
        <v>0.40443810820579529</v>
      </c>
      <c r="F208" s="16">
        <v>0.30110877752304083</v>
      </c>
      <c r="G208" s="16">
        <v>0.33298796415328979</v>
      </c>
      <c r="H208" s="16">
        <v>0.28523164987564092</v>
      </c>
    </row>
    <row r="209" spans="1:8">
      <c r="A209" s="5">
        <v>6</v>
      </c>
      <c r="B209" s="5" t="s">
        <v>165</v>
      </c>
      <c r="C209" s="27" t="s">
        <v>371</v>
      </c>
      <c r="D209" s="27">
        <v>0.44444674253463751</v>
      </c>
      <c r="E209" s="16">
        <v>0.44444674253463751</v>
      </c>
      <c r="F209" s="16">
        <v>0.25617927312850952</v>
      </c>
      <c r="G209" s="16">
        <v>0.31212031841278082</v>
      </c>
      <c r="H209" s="16">
        <v>0.26468095183372498</v>
      </c>
    </row>
    <row r="210" spans="1:8">
      <c r="A210" s="5">
        <v>19</v>
      </c>
      <c r="B210" s="5" t="s">
        <v>188</v>
      </c>
      <c r="C210" s="27" t="s">
        <v>371</v>
      </c>
      <c r="D210" s="27">
        <v>0.45754346251487732</v>
      </c>
      <c r="E210" s="16">
        <v>0.45754346251487732</v>
      </c>
      <c r="F210" s="16">
        <v>0.40891045331954962</v>
      </c>
      <c r="G210" s="16">
        <v>0.41322818398475653</v>
      </c>
      <c r="H210" s="16">
        <v>0.28098917007446289</v>
      </c>
    </row>
    <row r="211" spans="1:8">
      <c r="A211" s="5">
        <v>17</v>
      </c>
      <c r="B211" s="5" t="s">
        <v>351</v>
      </c>
      <c r="C211" s="27" t="s">
        <v>371</v>
      </c>
      <c r="D211" s="27">
        <v>0.43006941676139832</v>
      </c>
      <c r="E211" s="16">
        <v>0.43006941676139832</v>
      </c>
      <c r="F211" s="16">
        <v>0.4299129843711853</v>
      </c>
      <c r="G211" s="16">
        <v>0.37704432010650629</v>
      </c>
      <c r="H211" s="16">
        <v>0.2838558554649353</v>
      </c>
    </row>
    <row r="212" spans="1:8">
      <c r="A212" s="5">
        <v>20</v>
      </c>
      <c r="B212" s="5" t="s">
        <v>355</v>
      </c>
      <c r="C212" s="27" t="s">
        <v>371</v>
      </c>
      <c r="D212" s="27">
        <v>0.56405770778656006</v>
      </c>
      <c r="E212" s="16">
        <v>0.56405770778656006</v>
      </c>
      <c r="F212" s="16">
        <v>0.38054126501083368</v>
      </c>
      <c r="G212" s="16">
        <v>0.19948665797710419</v>
      </c>
      <c r="H212" s="16">
        <v>0.16774991154670721</v>
      </c>
    </row>
    <row r="213" spans="1:8">
      <c r="A213" s="5">
        <v>37</v>
      </c>
      <c r="B213" s="5" t="s">
        <v>149</v>
      </c>
      <c r="C213" s="27" t="s">
        <v>371</v>
      </c>
      <c r="D213" s="27">
        <v>0.4037708044052124</v>
      </c>
      <c r="E213" s="16">
        <v>0.4037708044052124</v>
      </c>
      <c r="F213" s="16">
        <v>0.34811091423034668</v>
      </c>
      <c r="G213" s="16">
        <v>0.39475804567337042</v>
      </c>
      <c r="H213" s="16">
        <v>0.25716924667358398</v>
      </c>
    </row>
    <row r="214" spans="1:8">
      <c r="A214" s="5">
        <v>26</v>
      </c>
      <c r="B214" s="5" t="s">
        <v>328</v>
      </c>
      <c r="C214" s="27" t="s">
        <v>371</v>
      </c>
      <c r="D214" s="27">
        <v>0.4358668327331543</v>
      </c>
      <c r="E214" s="16">
        <v>0.4358668327331543</v>
      </c>
      <c r="F214" s="16">
        <v>0.35718122124671942</v>
      </c>
      <c r="G214" s="16">
        <v>0.34998774528503418</v>
      </c>
      <c r="H214" s="16">
        <v>0.43294501304626459</v>
      </c>
    </row>
    <row r="215" spans="1:8">
      <c r="A215" s="5">
        <v>3</v>
      </c>
      <c r="B215" s="5" t="s">
        <v>199</v>
      </c>
      <c r="C215" s="27" t="s">
        <v>371</v>
      </c>
      <c r="D215" s="27">
        <v>0.4375414252281189</v>
      </c>
      <c r="E215" s="16">
        <v>0.4375414252281189</v>
      </c>
      <c r="F215" s="16">
        <v>0.27491766214370728</v>
      </c>
      <c r="G215" s="16">
        <v>0.34761431813240051</v>
      </c>
      <c r="H215" s="16">
        <v>0.1687192767858505</v>
      </c>
    </row>
    <row r="216" spans="1:8">
      <c r="A216" s="5">
        <v>10</v>
      </c>
      <c r="B216" s="5" t="s">
        <v>184</v>
      </c>
      <c r="C216" s="27" t="s">
        <v>371</v>
      </c>
      <c r="D216" s="27">
        <v>0.46506500244140619</v>
      </c>
      <c r="E216" s="16">
        <v>0.46506500244140619</v>
      </c>
      <c r="F216" s="16">
        <v>0.35778242349624628</v>
      </c>
      <c r="G216" s="16">
        <v>0.35896801948547358</v>
      </c>
      <c r="H216" s="16">
        <v>0.2454657256603241</v>
      </c>
    </row>
    <row r="217" spans="1:8">
      <c r="A217" s="5">
        <v>32</v>
      </c>
      <c r="B217" s="5" t="s">
        <v>284</v>
      </c>
      <c r="C217" s="27" t="s">
        <v>371</v>
      </c>
      <c r="D217" s="27">
        <v>0.40629595518112183</v>
      </c>
      <c r="E217" s="16">
        <v>0.40629595518112183</v>
      </c>
      <c r="F217" s="16">
        <v>0.37351489067077642</v>
      </c>
      <c r="G217" s="16">
        <v>0.34597223997116089</v>
      </c>
      <c r="H217" s="16">
        <v>0.30098876357078552</v>
      </c>
    </row>
    <row r="218" spans="1:8">
      <c r="A218" s="5">
        <v>29</v>
      </c>
      <c r="B218" s="5" t="s">
        <v>228</v>
      </c>
      <c r="C218" s="27" t="s">
        <v>371</v>
      </c>
      <c r="D218" s="27">
        <v>0.4233667254447937</v>
      </c>
      <c r="E218" s="16">
        <v>0.4233667254447937</v>
      </c>
      <c r="F218" s="16">
        <v>0.32275316119194031</v>
      </c>
      <c r="G218" s="16">
        <v>0.36037540435791021</v>
      </c>
      <c r="H218" s="16">
        <v>0.30548110604286188</v>
      </c>
    </row>
    <row r="219" spans="1:8">
      <c r="A219" s="5">
        <v>24</v>
      </c>
      <c r="B219" s="5" t="s">
        <v>280</v>
      </c>
      <c r="C219" s="27" t="s">
        <v>371</v>
      </c>
      <c r="D219" s="27">
        <v>0.48698413372039789</v>
      </c>
      <c r="E219" s="16">
        <v>0.48698413372039789</v>
      </c>
      <c r="F219" s="16">
        <v>0.32820570468902588</v>
      </c>
      <c r="G219" s="16">
        <v>0.46203568577766418</v>
      </c>
      <c r="H219" s="16">
        <v>0.34523805975914001</v>
      </c>
    </row>
    <row r="220" spans="1:8">
      <c r="A220" s="5">
        <v>41</v>
      </c>
      <c r="B220" s="5" t="s">
        <v>173</v>
      </c>
      <c r="C220" s="27" t="s">
        <v>371</v>
      </c>
      <c r="D220" s="27">
        <v>0.44920307397842407</v>
      </c>
      <c r="E220" s="16">
        <v>0.44920307397842407</v>
      </c>
      <c r="F220" s="16">
        <v>0.31899380683898931</v>
      </c>
      <c r="G220" s="16">
        <v>0.38148140907287598</v>
      </c>
      <c r="H220" s="16">
        <v>0.26375648379325872</v>
      </c>
    </row>
    <row r="221" spans="1:8">
      <c r="A221" s="5">
        <v>1</v>
      </c>
      <c r="B221" s="5" t="s">
        <v>349</v>
      </c>
      <c r="C221" s="27" t="s">
        <v>371</v>
      </c>
      <c r="D221" s="27">
        <v>0.48540917038917542</v>
      </c>
      <c r="E221" s="16">
        <v>0.48540917038917542</v>
      </c>
      <c r="F221" s="16">
        <v>0.32699388265609741</v>
      </c>
      <c r="G221" s="16">
        <v>0.33082893490791321</v>
      </c>
      <c r="H221" s="16">
        <v>0.24309822916984561</v>
      </c>
    </row>
    <row r="222" spans="1:8">
      <c r="A222" s="5">
        <v>24</v>
      </c>
      <c r="B222" s="5" t="s">
        <v>186</v>
      </c>
      <c r="C222" s="27" t="s">
        <v>371</v>
      </c>
      <c r="D222" s="27">
        <v>0.68524831533432007</v>
      </c>
      <c r="E222" s="16">
        <v>0.68524831533432007</v>
      </c>
      <c r="F222" s="16">
        <v>0.40845492482185358</v>
      </c>
      <c r="G222" s="16">
        <v>0.33203873038291931</v>
      </c>
      <c r="H222" s="16">
        <v>0.15083248913288119</v>
      </c>
    </row>
    <row r="223" spans="1:8">
      <c r="A223" s="5">
        <v>19</v>
      </c>
      <c r="B223" s="5" t="s">
        <v>293</v>
      </c>
      <c r="C223" s="27" t="s">
        <v>371</v>
      </c>
      <c r="D223" s="27">
        <v>0.50795990228652954</v>
      </c>
      <c r="E223" s="16">
        <v>0.50795990228652954</v>
      </c>
      <c r="F223" s="16">
        <v>0.46595963835716248</v>
      </c>
      <c r="G223" s="16">
        <v>0.39372199773788452</v>
      </c>
      <c r="H223" s="16">
        <v>0.42433926463127142</v>
      </c>
    </row>
    <row r="224" spans="1:8">
      <c r="A224" s="5">
        <v>12</v>
      </c>
      <c r="B224" s="5" t="s">
        <v>191</v>
      </c>
      <c r="C224" s="27" t="s">
        <v>371</v>
      </c>
      <c r="D224" s="27">
        <v>0.40413421392440801</v>
      </c>
      <c r="E224" s="16">
        <v>0.40413421392440801</v>
      </c>
      <c r="F224" s="16">
        <v>0.29405665397644037</v>
      </c>
      <c r="G224" s="16">
        <v>0.39097267389297491</v>
      </c>
      <c r="H224" s="16">
        <v>0.26082974672317499</v>
      </c>
    </row>
    <row r="225" spans="1:8">
      <c r="A225" s="5">
        <v>9</v>
      </c>
      <c r="B225" s="5" t="s">
        <v>191</v>
      </c>
      <c r="C225" s="27" t="s">
        <v>371</v>
      </c>
      <c r="D225" s="27">
        <v>0.40413421392440801</v>
      </c>
      <c r="E225" s="16">
        <v>0.40413421392440801</v>
      </c>
      <c r="F225" s="16">
        <v>0.29405665397644037</v>
      </c>
      <c r="G225" s="16">
        <v>0.39097267389297491</v>
      </c>
      <c r="H225" s="16">
        <v>0.26082974672317499</v>
      </c>
    </row>
    <row r="226" spans="1:8">
      <c r="A226" s="5">
        <v>23</v>
      </c>
      <c r="B226" s="5" t="s">
        <v>327</v>
      </c>
      <c r="C226" s="27" t="s">
        <v>371</v>
      </c>
      <c r="D226" s="27">
        <v>0.57112914323806763</v>
      </c>
      <c r="E226" s="16">
        <v>0.57112914323806763</v>
      </c>
      <c r="F226" s="16">
        <v>0.45738783478736877</v>
      </c>
      <c r="G226" s="16">
        <v>0.34158527851104742</v>
      </c>
      <c r="H226" s="16">
        <v>0.1473107635974884</v>
      </c>
    </row>
    <row r="227" spans="1:8">
      <c r="A227" s="5">
        <v>30</v>
      </c>
      <c r="B227" s="5" t="s">
        <v>339</v>
      </c>
      <c r="C227" s="27" t="s">
        <v>371</v>
      </c>
      <c r="D227" s="27">
        <v>0.56453317403793335</v>
      </c>
      <c r="E227" s="16">
        <v>0.56453317403793335</v>
      </c>
      <c r="F227" s="16">
        <v>0.39502060413360601</v>
      </c>
      <c r="G227" s="16">
        <v>0.29235401749610901</v>
      </c>
      <c r="H227" s="16">
        <v>7.7232271432876587E-2</v>
      </c>
    </row>
    <row r="228" spans="1:8">
      <c r="A228" s="5">
        <v>11</v>
      </c>
      <c r="B228" s="5" t="s">
        <v>134</v>
      </c>
      <c r="C228" s="27" t="s">
        <v>371</v>
      </c>
      <c r="D228" s="27">
        <v>0.41792535781860352</v>
      </c>
      <c r="E228" s="16">
        <v>0.41792535781860352</v>
      </c>
      <c r="F228" s="16">
        <v>0.36699381470680242</v>
      </c>
      <c r="G228" s="16">
        <v>0.3029177188873291</v>
      </c>
      <c r="H228" s="16">
        <v>0.30105102062225342</v>
      </c>
    </row>
    <row r="229" spans="1:8">
      <c r="A229" s="5">
        <v>18</v>
      </c>
      <c r="B229" s="5" t="s">
        <v>345</v>
      </c>
      <c r="C229" s="27" t="s">
        <v>371</v>
      </c>
      <c r="D229" s="27">
        <v>0.48572415113449102</v>
      </c>
      <c r="E229" s="16">
        <v>0.48572415113449102</v>
      </c>
      <c r="F229" s="16">
        <v>0.40095841884613043</v>
      </c>
      <c r="G229" s="16">
        <v>0.35343781113624573</v>
      </c>
      <c r="H229" s="16">
        <v>0.21698971092700961</v>
      </c>
    </row>
    <row r="230" spans="1:8">
      <c r="A230" s="5">
        <v>32</v>
      </c>
      <c r="B230" s="5" t="s">
        <v>147</v>
      </c>
      <c r="C230" s="27" t="s">
        <v>371</v>
      </c>
      <c r="D230" s="27">
        <v>0.40353941917419428</v>
      </c>
      <c r="E230" s="16">
        <v>0.40353941917419428</v>
      </c>
      <c r="F230" s="16">
        <v>0.25565952062606812</v>
      </c>
      <c r="G230" s="16">
        <v>0.33400893211364752</v>
      </c>
      <c r="H230" s="16">
        <v>0.34738579392433172</v>
      </c>
    </row>
    <row r="231" spans="1:8">
      <c r="A231" s="5">
        <v>32</v>
      </c>
      <c r="B231" s="5" t="s">
        <v>260</v>
      </c>
      <c r="C231" s="27" t="s">
        <v>364</v>
      </c>
      <c r="D231" s="27">
        <v>0.397320955991745</v>
      </c>
      <c r="E231" s="16">
        <v>0.397320955991745</v>
      </c>
      <c r="F231" s="16">
        <v>0.34267982840538019</v>
      </c>
      <c r="G231" s="16">
        <v>0.39159730076789862</v>
      </c>
      <c r="H231" s="16">
        <v>0.26760938763618469</v>
      </c>
    </row>
    <row r="232" spans="1:8">
      <c r="A232" s="5">
        <v>31</v>
      </c>
      <c r="B232" s="5" t="s">
        <v>367</v>
      </c>
      <c r="C232" s="27" t="s">
        <v>364</v>
      </c>
      <c r="D232" s="27">
        <v>0.36843234300613398</v>
      </c>
      <c r="E232" s="16">
        <v>0.1846291720867157</v>
      </c>
      <c r="F232" s="16">
        <v>0.13389138877391821</v>
      </c>
      <c r="G232" s="16">
        <v>0.36843234300613398</v>
      </c>
      <c r="H232" s="16">
        <v>0.2426941990852356</v>
      </c>
    </row>
    <row r="233" spans="1:8">
      <c r="A233" s="5">
        <v>32</v>
      </c>
      <c r="B233" s="5" t="s">
        <v>340</v>
      </c>
      <c r="C233" s="27" t="s">
        <v>364</v>
      </c>
      <c r="D233" s="27">
        <v>0.33503007888793951</v>
      </c>
      <c r="E233" s="16">
        <v>0.29505288600921631</v>
      </c>
      <c r="F233" s="16">
        <v>0.32172608375549322</v>
      </c>
      <c r="G233" s="16">
        <v>0.33503007888793951</v>
      </c>
      <c r="H233" s="16">
        <v>0.23814751207828519</v>
      </c>
    </row>
    <row r="234" spans="1:8">
      <c r="A234" s="5">
        <v>38</v>
      </c>
      <c r="B234" s="5" t="s">
        <v>162</v>
      </c>
      <c r="C234" s="27" t="s">
        <v>364</v>
      </c>
      <c r="D234" s="27">
        <v>0.39435887336730963</v>
      </c>
      <c r="E234" s="16">
        <v>0.24234241247177121</v>
      </c>
      <c r="F234" s="16">
        <v>0.29568779468536383</v>
      </c>
      <c r="G234" s="16">
        <v>0.39435887336730963</v>
      </c>
      <c r="H234" s="16">
        <v>0.20856957137584689</v>
      </c>
    </row>
    <row r="235" spans="1:8">
      <c r="A235" s="5">
        <v>17</v>
      </c>
      <c r="B235" s="5" t="s">
        <v>290</v>
      </c>
      <c r="C235" s="27" t="s">
        <v>364</v>
      </c>
      <c r="D235" s="27">
        <v>0.39325851202011108</v>
      </c>
      <c r="E235" s="16">
        <v>0.25247800350189209</v>
      </c>
      <c r="F235" s="16">
        <v>0.2448920160531998</v>
      </c>
      <c r="G235" s="16">
        <v>0.39325851202011108</v>
      </c>
      <c r="H235" s="16">
        <v>0.37058860063552862</v>
      </c>
    </row>
    <row r="236" spans="1:8">
      <c r="A236" s="5">
        <v>34</v>
      </c>
      <c r="B236" s="5" t="s">
        <v>240</v>
      </c>
      <c r="C236" s="27" t="s">
        <v>364</v>
      </c>
      <c r="D236" s="27">
        <v>0.37941712141036987</v>
      </c>
      <c r="E236" s="16">
        <v>0.37941712141036987</v>
      </c>
      <c r="F236" s="16">
        <v>0.31926226615905762</v>
      </c>
      <c r="G236" s="16">
        <v>0.25370728969573969</v>
      </c>
      <c r="H236" s="16">
        <v>0.34285235404968262</v>
      </c>
    </row>
    <row r="237" spans="1:8">
      <c r="A237" s="5">
        <v>35</v>
      </c>
      <c r="B237" s="5" t="s">
        <v>240</v>
      </c>
      <c r="C237" s="27" t="s">
        <v>364</v>
      </c>
      <c r="D237" s="27">
        <v>0.37941712141036987</v>
      </c>
      <c r="E237" s="16">
        <v>0.37941712141036987</v>
      </c>
      <c r="F237" s="16">
        <v>0.31926226615905762</v>
      </c>
      <c r="G237" s="16">
        <v>0.25370728969573969</v>
      </c>
      <c r="H237" s="16">
        <v>0.34285235404968262</v>
      </c>
    </row>
    <row r="238" spans="1:8">
      <c r="A238" s="5">
        <v>27</v>
      </c>
      <c r="B238" s="5" t="s">
        <v>226</v>
      </c>
      <c r="C238" s="27" t="s">
        <v>364</v>
      </c>
      <c r="D238" s="27">
        <v>0.27282091975212103</v>
      </c>
      <c r="E238" s="16">
        <v>0.27282091975212103</v>
      </c>
      <c r="F238" s="16">
        <v>0.1573455631732941</v>
      </c>
      <c r="G238" s="16">
        <v>0.11846531182527539</v>
      </c>
      <c r="H238" s="16">
        <v>7.0772767066955566E-2</v>
      </c>
    </row>
    <row r="239" spans="1:8">
      <c r="A239" s="5">
        <v>10</v>
      </c>
      <c r="B239" s="5" t="s">
        <v>278</v>
      </c>
      <c r="C239" s="27" t="s">
        <v>364</v>
      </c>
      <c r="D239" s="27">
        <v>0.36916035413742071</v>
      </c>
      <c r="E239" s="16">
        <v>0.36916035413742071</v>
      </c>
      <c r="F239" s="16">
        <v>0.26928490400314331</v>
      </c>
      <c r="G239" s="16">
        <v>0.29658478498458862</v>
      </c>
      <c r="H239" s="16">
        <v>0.33449754118919373</v>
      </c>
    </row>
    <row r="240" spans="1:8">
      <c r="A240" s="5">
        <v>5</v>
      </c>
      <c r="B240" s="5" t="s">
        <v>132</v>
      </c>
      <c r="C240" s="27" t="s">
        <v>364</v>
      </c>
      <c r="D240" s="27">
        <v>0.3616974949836731</v>
      </c>
      <c r="E240" s="16">
        <v>0.28293389081954962</v>
      </c>
      <c r="F240" s="16">
        <v>0.3616974949836731</v>
      </c>
      <c r="G240" s="16">
        <v>0.3528464138507843</v>
      </c>
      <c r="H240" s="16">
        <v>0.33297297358512878</v>
      </c>
    </row>
    <row r="241" spans="1:8">
      <c r="A241" s="5">
        <v>33</v>
      </c>
      <c r="B241" s="5" t="s">
        <v>141</v>
      </c>
      <c r="C241" s="27" t="s">
        <v>364</v>
      </c>
      <c r="D241" s="27">
        <v>0.33106553554534912</v>
      </c>
      <c r="E241" s="16">
        <v>0.30559751391410828</v>
      </c>
      <c r="F241" s="16">
        <v>0.27683395147323608</v>
      </c>
      <c r="G241" s="16">
        <v>0.33106553554534912</v>
      </c>
      <c r="H241" s="16">
        <v>0.222552165389061</v>
      </c>
    </row>
    <row r="242" spans="1:8">
      <c r="A242" s="5">
        <v>35</v>
      </c>
      <c r="B242" s="5" t="s">
        <v>141</v>
      </c>
      <c r="C242" s="27" t="s">
        <v>364</v>
      </c>
      <c r="D242" s="27">
        <v>0.33106553554534912</v>
      </c>
      <c r="E242" s="16">
        <v>0.30559751391410828</v>
      </c>
      <c r="F242" s="16">
        <v>0.27683395147323608</v>
      </c>
      <c r="G242" s="16">
        <v>0.33106553554534912</v>
      </c>
      <c r="H242" s="16">
        <v>0.222552165389061</v>
      </c>
    </row>
    <row r="243" spans="1:8">
      <c r="A243" s="5">
        <v>38</v>
      </c>
      <c r="B243" s="5" t="s">
        <v>243</v>
      </c>
      <c r="C243" s="27" t="s">
        <v>364</v>
      </c>
      <c r="D243" s="27">
        <v>0.26903188228607178</v>
      </c>
      <c r="E243" s="16">
        <v>0.16354385018348691</v>
      </c>
      <c r="F243" s="16">
        <v>0.21759070456027979</v>
      </c>
      <c r="G243" s="16">
        <v>0.18410633504390719</v>
      </c>
      <c r="H243" s="16">
        <v>0.26903188228607178</v>
      </c>
    </row>
    <row r="244" spans="1:8">
      <c r="A244" s="5">
        <v>28</v>
      </c>
      <c r="B244" s="5" t="s">
        <v>138</v>
      </c>
      <c r="C244" s="27" t="s">
        <v>364</v>
      </c>
      <c r="D244" s="27">
        <v>0.37707120180129999</v>
      </c>
      <c r="E244" s="16">
        <v>0.30331358313560491</v>
      </c>
      <c r="F244" s="16">
        <v>0.37707120180129999</v>
      </c>
      <c r="G244" s="16">
        <v>0.29006990790367132</v>
      </c>
      <c r="H244" s="16">
        <v>0.19040469825267789</v>
      </c>
    </row>
    <row r="245" spans="1:8">
      <c r="A245" s="5">
        <v>33</v>
      </c>
      <c r="B245" s="5" t="s">
        <v>369</v>
      </c>
      <c r="C245" s="27" t="s">
        <v>364</v>
      </c>
      <c r="D245" s="27">
        <v>0.242017462849617</v>
      </c>
      <c r="E245" s="16">
        <v>0.23192587494850159</v>
      </c>
      <c r="F245" s="16">
        <v>0.242017462849617</v>
      </c>
      <c r="G245" s="16">
        <v>0.2248956561088562</v>
      </c>
      <c r="H245" s="16">
        <v>0.22007234394550321</v>
      </c>
    </row>
    <row r="246" spans="1:8">
      <c r="A246" s="5">
        <v>28</v>
      </c>
      <c r="B246" s="5" t="s">
        <v>227</v>
      </c>
      <c r="C246" s="27" t="s">
        <v>364</v>
      </c>
      <c r="D246" s="27">
        <v>0.33273246884346008</v>
      </c>
      <c r="E246" s="16">
        <v>0.3012872040271759</v>
      </c>
      <c r="F246" s="16">
        <v>0.22392149269580841</v>
      </c>
      <c r="G246" s="16">
        <v>0.33273246884346008</v>
      </c>
      <c r="H246" s="16">
        <v>0.26251071691513062</v>
      </c>
    </row>
    <row r="247" spans="1:8">
      <c r="A247" s="5">
        <v>29</v>
      </c>
      <c r="B247" s="5" t="s">
        <v>338</v>
      </c>
      <c r="C247" s="27" t="s">
        <v>364</v>
      </c>
      <c r="D247" s="27">
        <v>0.34615051746368408</v>
      </c>
      <c r="E247" s="16">
        <v>0.2505452036857605</v>
      </c>
      <c r="F247" s="16">
        <v>0.18425075709819791</v>
      </c>
      <c r="G247" s="16">
        <v>0.34615051746368408</v>
      </c>
      <c r="H247" s="16">
        <v>0.29278218746185303</v>
      </c>
    </row>
    <row r="248" spans="1:8">
      <c r="A248" s="5">
        <v>32</v>
      </c>
      <c r="B248" s="5" t="s">
        <v>233</v>
      </c>
      <c r="C248" s="27" t="s">
        <v>364</v>
      </c>
      <c r="D248" s="27">
        <v>0.28742170333862299</v>
      </c>
      <c r="E248" s="16">
        <v>0.12402324378490449</v>
      </c>
      <c r="F248" s="16">
        <v>0.1316501647233963</v>
      </c>
      <c r="G248" s="16">
        <v>0.28742170333862299</v>
      </c>
      <c r="H248" s="16">
        <v>0.14387756586074829</v>
      </c>
    </row>
    <row r="249" spans="1:8">
      <c r="A249" s="5">
        <v>27</v>
      </c>
      <c r="B249" s="5" t="s">
        <v>282</v>
      </c>
      <c r="C249" s="27" t="s">
        <v>364</v>
      </c>
      <c r="D249" s="27">
        <v>0.36954009532928472</v>
      </c>
      <c r="E249" s="16">
        <v>0.22396689653396609</v>
      </c>
      <c r="F249" s="16">
        <v>0.36954009532928472</v>
      </c>
      <c r="G249" s="16">
        <v>0.36770349740982061</v>
      </c>
      <c r="H249" s="16">
        <v>0.35089677572250372</v>
      </c>
    </row>
    <row r="250" spans="1:8">
      <c r="A250" s="5">
        <v>28</v>
      </c>
      <c r="B250" s="5" t="s">
        <v>137</v>
      </c>
      <c r="C250" s="27" t="s">
        <v>364</v>
      </c>
      <c r="D250" s="27">
        <v>0.33659815788269037</v>
      </c>
      <c r="E250" s="16">
        <v>0.30703127384185791</v>
      </c>
      <c r="F250" s="16">
        <v>0.33659815788269037</v>
      </c>
      <c r="G250" s="16">
        <v>0.21926017105579379</v>
      </c>
      <c r="H250" s="16">
        <v>0.18653503060340881</v>
      </c>
    </row>
    <row r="251" spans="1:8">
      <c r="A251" s="5">
        <v>8</v>
      </c>
      <c r="B251" s="5" t="s">
        <v>206</v>
      </c>
      <c r="C251" s="27" t="s">
        <v>364</v>
      </c>
      <c r="D251" s="27">
        <v>0.35827797651290888</v>
      </c>
      <c r="E251" s="16">
        <v>0.27420419454574579</v>
      </c>
      <c r="F251" s="16">
        <v>0.24180082976818079</v>
      </c>
      <c r="G251" s="16">
        <v>0.35827797651290888</v>
      </c>
      <c r="H251" s="16">
        <v>0.28389120101928711</v>
      </c>
    </row>
    <row r="252" spans="1:8">
      <c r="A252" s="5">
        <v>40</v>
      </c>
      <c r="B252" s="5" t="s">
        <v>181</v>
      </c>
      <c r="C252" s="27" t="s">
        <v>364</v>
      </c>
      <c r="D252" s="27">
        <v>0.39476051926612848</v>
      </c>
      <c r="E252" s="16">
        <v>0.36818879842758179</v>
      </c>
      <c r="F252" s="16">
        <v>0.39476051926612848</v>
      </c>
      <c r="G252" s="16">
        <v>0.33552297949790949</v>
      </c>
      <c r="H252" s="16">
        <v>0.2440256476402283</v>
      </c>
    </row>
    <row r="253" spans="1:8">
      <c r="A253" s="5">
        <v>15</v>
      </c>
      <c r="B253" s="5" t="s">
        <v>254</v>
      </c>
      <c r="C253" s="27" t="s">
        <v>364</v>
      </c>
      <c r="D253" s="27">
        <v>0.39466318488121033</v>
      </c>
      <c r="E253" s="16">
        <v>0.34211516380310059</v>
      </c>
      <c r="F253" s="16">
        <v>0.32797935605049128</v>
      </c>
      <c r="G253" s="16">
        <v>0.39466318488121033</v>
      </c>
      <c r="H253" s="16">
        <v>0.190167635679245</v>
      </c>
    </row>
    <row r="254" spans="1:8">
      <c r="A254" s="5">
        <v>33</v>
      </c>
      <c r="B254" s="5" t="s">
        <v>239</v>
      </c>
      <c r="C254" s="27" t="s">
        <v>364</v>
      </c>
      <c r="D254" s="27">
        <v>0.35406237840652471</v>
      </c>
      <c r="E254" s="16">
        <v>0.27344352006912231</v>
      </c>
      <c r="F254" s="16">
        <v>0.20403069257736209</v>
      </c>
      <c r="G254" s="16">
        <v>0.35406237840652471</v>
      </c>
      <c r="H254" s="16">
        <v>0.2369324266910553</v>
      </c>
    </row>
    <row r="255" spans="1:8">
      <c r="A255" s="5">
        <v>28</v>
      </c>
      <c r="B255" s="5" t="s">
        <v>366</v>
      </c>
      <c r="C255" s="27" t="s">
        <v>364</v>
      </c>
      <c r="D255" s="27">
        <v>0.21076673269271851</v>
      </c>
      <c r="E255" s="16">
        <v>0.21076673269271851</v>
      </c>
      <c r="F255" s="16">
        <v>0.11680462956428531</v>
      </c>
      <c r="G255" s="16">
        <v>0.18820503354072571</v>
      </c>
      <c r="H255" s="16">
        <v>0.1994321197271347</v>
      </c>
    </row>
    <row r="256" spans="1:8">
      <c r="A256" s="5">
        <v>32</v>
      </c>
      <c r="B256" s="5" t="s">
        <v>285</v>
      </c>
      <c r="C256" s="27" t="s">
        <v>364</v>
      </c>
      <c r="D256" s="27">
        <v>0.35090833902359009</v>
      </c>
      <c r="E256" s="16">
        <v>0.24105069041252139</v>
      </c>
      <c r="F256" s="16">
        <v>9.7720548510551453E-2</v>
      </c>
      <c r="G256" s="16">
        <v>0.35090833902359009</v>
      </c>
      <c r="H256" s="16">
        <v>0.2726590633392334</v>
      </c>
    </row>
    <row r="257" spans="1:8">
      <c r="A257" s="5">
        <v>33</v>
      </c>
      <c r="B257" s="5" t="s">
        <v>330</v>
      </c>
      <c r="C257" s="27" t="s">
        <v>364</v>
      </c>
      <c r="D257" s="27">
        <v>0.39866644144058228</v>
      </c>
      <c r="E257" s="16">
        <v>0.25380775332450872</v>
      </c>
      <c r="F257" s="16">
        <v>0.12563163042068479</v>
      </c>
      <c r="G257" s="16">
        <v>0.39866644144058228</v>
      </c>
      <c r="H257" s="16">
        <v>0.2490098178386688</v>
      </c>
    </row>
    <row r="258" spans="1:8">
      <c r="A258" s="5">
        <v>32</v>
      </c>
      <c r="B258" s="5" t="s">
        <v>126</v>
      </c>
      <c r="C258" s="27" t="s">
        <v>364</v>
      </c>
      <c r="D258" s="27">
        <v>0.30742165446281428</v>
      </c>
      <c r="E258" s="16">
        <v>0.25081166625022888</v>
      </c>
      <c r="F258" s="16">
        <v>0.25543510913848883</v>
      </c>
      <c r="G258" s="16">
        <v>0.2239082753658295</v>
      </c>
      <c r="H258" s="16">
        <v>0.30742165446281428</v>
      </c>
    </row>
    <row r="259" spans="1:8">
      <c r="A259" s="5">
        <v>39</v>
      </c>
      <c r="B259" s="5" t="s">
        <v>245</v>
      </c>
      <c r="C259" s="27" t="s">
        <v>364</v>
      </c>
      <c r="D259" s="27">
        <v>0.32233726978302002</v>
      </c>
      <c r="E259" s="16">
        <v>0.26465135812759399</v>
      </c>
      <c r="F259" s="16">
        <v>0.28797268867492681</v>
      </c>
      <c r="G259" s="16">
        <v>0.27902370691299438</v>
      </c>
      <c r="H259" s="16">
        <v>0.32233726978302002</v>
      </c>
    </row>
    <row r="260" spans="1:8">
      <c r="A260" s="5">
        <v>33</v>
      </c>
      <c r="B260" s="5" t="s">
        <v>236</v>
      </c>
      <c r="C260" s="27" t="s">
        <v>364</v>
      </c>
      <c r="D260" s="27">
        <v>0.37954390048980707</v>
      </c>
      <c r="E260" s="16">
        <v>0.3245757520198822</v>
      </c>
      <c r="F260" s="16">
        <v>0.3654555082321167</v>
      </c>
      <c r="G260" s="16">
        <v>0.37954390048980707</v>
      </c>
      <c r="H260" s="16">
        <v>0.35469290614128107</v>
      </c>
    </row>
    <row r="261" spans="1:8">
      <c r="A261" s="5">
        <v>26</v>
      </c>
      <c r="B261" s="5" t="s">
        <v>365</v>
      </c>
      <c r="C261" s="27" t="s">
        <v>364</v>
      </c>
      <c r="D261" s="27">
        <v>0.34574073553085333</v>
      </c>
      <c r="E261" s="16">
        <v>0.1941739767789841</v>
      </c>
      <c r="F261" s="16">
        <v>0.26950910687446589</v>
      </c>
      <c r="G261" s="16">
        <v>0.33816388249397278</v>
      </c>
      <c r="H261" s="16">
        <v>0.34574073553085333</v>
      </c>
    </row>
    <row r="262" spans="1:8">
      <c r="A262" s="5">
        <v>37</v>
      </c>
      <c r="B262" s="5" t="s">
        <v>241</v>
      </c>
      <c r="C262" s="27" t="s">
        <v>364</v>
      </c>
      <c r="D262" s="27">
        <v>0.38891404867172241</v>
      </c>
      <c r="E262" s="16">
        <v>0.28892752528190607</v>
      </c>
      <c r="F262" s="16">
        <v>0.21798306703567499</v>
      </c>
      <c r="G262" s="16">
        <v>0.38891404867172241</v>
      </c>
      <c r="H262" s="16">
        <v>0.368104487657547</v>
      </c>
    </row>
    <row r="263" spans="1:8">
      <c r="A263" s="5">
        <v>37</v>
      </c>
      <c r="B263" s="5" t="s">
        <v>241</v>
      </c>
      <c r="C263" s="27" t="s">
        <v>364</v>
      </c>
      <c r="D263" s="27">
        <v>0.38891404867172241</v>
      </c>
      <c r="E263" s="16">
        <v>0.28892752528190607</v>
      </c>
      <c r="F263" s="16">
        <v>0.21798306703567499</v>
      </c>
      <c r="G263" s="16">
        <v>0.38891404867172241</v>
      </c>
      <c r="H263" s="16">
        <v>0.368104487657547</v>
      </c>
    </row>
    <row r="264" spans="1:8">
      <c r="A264" s="5">
        <v>33</v>
      </c>
      <c r="B264" s="5" t="s">
        <v>341</v>
      </c>
      <c r="C264" s="27" t="s">
        <v>364</v>
      </c>
      <c r="D264" s="27">
        <v>0.32291316986083979</v>
      </c>
      <c r="E264" s="16">
        <v>0.29069030284881592</v>
      </c>
      <c r="F264" s="16">
        <v>0.32291316986083979</v>
      </c>
      <c r="G264" s="16">
        <v>0.22402280569076541</v>
      </c>
      <c r="H264" s="16">
        <v>0.1755596995353699</v>
      </c>
    </row>
    <row r="265" spans="1:8">
      <c r="A265" s="5">
        <v>18</v>
      </c>
      <c r="B265" s="5" t="s">
        <v>213</v>
      </c>
      <c r="C265" s="27" t="s">
        <v>364</v>
      </c>
      <c r="D265" s="27">
        <v>0.36290073394775391</v>
      </c>
      <c r="E265" s="16">
        <v>0.36290073394775391</v>
      </c>
      <c r="F265" s="16">
        <v>0.34818017482757568</v>
      </c>
      <c r="G265" s="16">
        <v>0.34646517038345342</v>
      </c>
      <c r="H265" s="16">
        <v>0.28983163833618159</v>
      </c>
    </row>
    <row r="266" spans="1:8">
      <c r="A266" s="5">
        <v>31</v>
      </c>
      <c r="B266" s="5" t="s">
        <v>168</v>
      </c>
      <c r="C266" s="27" t="s">
        <v>364</v>
      </c>
      <c r="D266" s="27">
        <v>0.3804304301738739</v>
      </c>
      <c r="E266" s="16">
        <v>0.344879150390625</v>
      </c>
      <c r="F266" s="16">
        <v>0.32310330867767328</v>
      </c>
      <c r="G266" s="16">
        <v>0.3804304301738739</v>
      </c>
      <c r="H266" s="16">
        <v>0.1908255070447922</v>
      </c>
    </row>
    <row r="267" spans="1:8">
      <c r="A267" s="5">
        <v>37</v>
      </c>
      <c r="B267" s="5" t="s">
        <v>286</v>
      </c>
      <c r="C267" s="27" t="s">
        <v>364</v>
      </c>
      <c r="D267" s="27">
        <v>0.35889932513237</v>
      </c>
      <c r="E267" s="16">
        <v>0.22563788294792181</v>
      </c>
      <c r="F267" s="16">
        <v>0.25928992033004761</v>
      </c>
      <c r="G267" s="16">
        <v>0.31924381852149958</v>
      </c>
      <c r="H267" s="16">
        <v>0.35889932513237</v>
      </c>
    </row>
    <row r="268" spans="1:8">
      <c r="A268" s="5">
        <v>25</v>
      </c>
      <c r="B268" s="5" t="s">
        <v>370</v>
      </c>
      <c r="C268" s="27" t="s">
        <v>364</v>
      </c>
      <c r="D268" s="27">
        <v>0.29959261417388922</v>
      </c>
      <c r="E268" s="16">
        <v>0.2380358278751373</v>
      </c>
      <c r="F268" s="16">
        <v>0.15270303189754489</v>
      </c>
      <c r="G268" s="16">
        <v>0.29959261417388922</v>
      </c>
      <c r="H268" s="16">
        <v>0.25674083828926092</v>
      </c>
    </row>
    <row r="269" spans="1:8">
      <c r="A269" s="5">
        <v>37</v>
      </c>
      <c r="B269" s="5" t="s">
        <v>331</v>
      </c>
      <c r="C269" s="27" t="s">
        <v>364</v>
      </c>
      <c r="D269" s="27">
        <v>0.33553498983383179</v>
      </c>
      <c r="E269" s="16">
        <v>0.2385108470916748</v>
      </c>
      <c r="F269" s="16">
        <v>0.225895956158638</v>
      </c>
      <c r="G269" s="16">
        <v>0.28539246320724487</v>
      </c>
      <c r="H269" s="16">
        <v>0.33553498983383179</v>
      </c>
    </row>
    <row r="270" spans="1:8">
      <c r="A270" s="5">
        <v>17</v>
      </c>
      <c r="B270" s="5" t="s">
        <v>291</v>
      </c>
      <c r="C270" s="27" t="s">
        <v>364</v>
      </c>
      <c r="D270" s="27">
        <v>0.36877906322479248</v>
      </c>
      <c r="E270" s="16">
        <v>0.26614171266555792</v>
      </c>
      <c r="F270" s="16">
        <v>0.31509429216384888</v>
      </c>
      <c r="G270" s="16">
        <v>0.26174503564834589</v>
      </c>
      <c r="H270" s="16">
        <v>0.36877906322479248</v>
      </c>
    </row>
    <row r="271" spans="1:8">
      <c r="A271" s="5">
        <v>20</v>
      </c>
      <c r="B271" s="5" t="s">
        <v>256</v>
      </c>
      <c r="C271" s="27" t="s">
        <v>364</v>
      </c>
      <c r="D271" s="27">
        <v>0.32014995813369751</v>
      </c>
      <c r="E271" s="16">
        <v>0.22828733921051031</v>
      </c>
      <c r="F271" s="16">
        <v>0.28652679920196528</v>
      </c>
      <c r="G271" s="16">
        <v>0.32014995813369751</v>
      </c>
      <c r="H271" s="16">
        <v>0.22148285806179049</v>
      </c>
    </row>
    <row r="272" spans="1:8">
      <c r="A272" s="5">
        <v>40</v>
      </c>
      <c r="B272" s="5" t="s">
        <v>246</v>
      </c>
      <c r="C272" s="27" t="s">
        <v>364</v>
      </c>
      <c r="D272" s="27">
        <v>0.35313871502876282</v>
      </c>
      <c r="E272" s="16">
        <v>0.2858746349811554</v>
      </c>
      <c r="F272" s="16">
        <v>0.30628314614295959</v>
      </c>
      <c r="G272" s="16">
        <v>0.35313871502876282</v>
      </c>
      <c r="H272" s="16">
        <v>0.24633944034576419</v>
      </c>
    </row>
    <row r="273" spans="1:8">
      <c r="A273" s="5">
        <v>39</v>
      </c>
      <c r="B273" s="5" t="s">
        <v>368</v>
      </c>
      <c r="C273" s="27" t="s">
        <v>364</v>
      </c>
      <c r="D273" s="27">
        <v>0.30548694729804993</v>
      </c>
      <c r="E273" s="16">
        <v>0.30548694729804993</v>
      </c>
      <c r="F273" s="16">
        <v>0.29868209362030029</v>
      </c>
      <c r="G273" s="16">
        <v>0.26329204440116882</v>
      </c>
      <c r="H273" s="16">
        <v>0.200256273150444</v>
      </c>
    </row>
  </sheetData>
  <autoFilter ref="A1:H273" xr:uid="{4FB483E7-A8A6-4154-9581-3CD79921687A}">
    <sortState xmlns:xlrd2="http://schemas.microsoft.com/office/spreadsheetml/2017/richdata2" ref="A2:H273">
      <sortCondition ref="C1:C273"/>
    </sortState>
  </autoFilter>
  <phoneticPr fontId="3" type="noConversion"/>
  <conditionalFormatting sqref="A2:H1000">
    <cfRule type="expression" dxfId="11" priority="25">
      <formula>$C2 = "AI system design"</formula>
    </cfRule>
    <cfRule type="expression" dxfId="10" priority="26">
      <formula>$C2 = "Ethics of AI"</formula>
    </cfRule>
    <cfRule type="expression" dxfId="9" priority="27">
      <formula>$C2 = "Human-centred mindset"</formula>
    </cfRule>
    <cfRule type="expression" dxfId="8" priority="28">
      <formula>$C2 = "AI techniques and applications"</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3B741-D7CA-4C8D-BA1D-F45763E55AB7}">
  <sheetPr>
    <tabColor rgb="FFFFFF00"/>
  </sheetPr>
  <dimension ref="A1:D273"/>
  <sheetViews>
    <sheetView tabSelected="1" workbookViewId="0">
      <selection activeCell="B24" sqref="B24"/>
    </sheetView>
  </sheetViews>
  <sheetFormatPr defaultColWidth="8.59765625" defaultRowHeight="13.2"/>
  <cols>
    <col min="1" max="1" width="8.69921875" style="2" customWidth="1"/>
    <col min="2" max="2" width="53.19921875" style="2" customWidth="1"/>
    <col min="3" max="3" width="15.69921875" style="28" customWidth="1"/>
    <col min="4" max="4" width="23.09765625" style="2" bestFit="1" customWidth="1"/>
    <col min="5" max="16384" width="8.59765625" style="2"/>
  </cols>
  <sheetData>
    <row r="1" spans="1:4">
      <c r="A1" s="4" t="s">
        <v>463</v>
      </c>
      <c r="B1" s="4" t="s">
        <v>1</v>
      </c>
      <c r="C1" s="15" t="s">
        <v>118</v>
      </c>
      <c r="D1" s="44" t="s">
        <v>1627</v>
      </c>
    </row>
    <row r="2" spans="1:4">
      <c r="A2" s="5">
        <v>36</v>
      </c>
      <c r="B2" s="5" t="s">
        <v>187</v>
      </c>
      <c r="C2" s="27" t="s">
        <v>395</v>
      </c>
      <c r="D2" s="5" t="s">
        <v>395</v>
      </c>
    </row>
    <row r="3" spans="1:4">
      <c r="A3" s="5">
        <v>35</v>
      </c>
      <c r="B3" s="5" t="s">
        <v>142</v>
      </c>
      <c r="C3" s="27" t="s">
        <v>395</v>
      </c>
      <c r="D3" s="5" t="s">
        <v>395</v>
      </c>
    </row>
    <row r="4" spans="1:4">
      <c r="A4" s="5">
        <v>27</v>
      </c>
      <c r="B4" s="5" t="s">
        <v>195</v>
      </c>
      <c r="C4" s="27" t="s">
        <v>395</v>
      </c>
      <c r="D4" s="5" t="s">
        <v>371</v>
      </c>
    </row>
    <row r="5" spans="1:4">
      <c r="A5" s="5">
        <v>22</v>
      </c>
      <c r="B5" s="5" t="s">
        <v>299</v>
      </c>
      <c r="C5" s="27" t="s">
        <v>395</v>
      </c>
      <c r="D5" s="5" t="s">
        <v>395</v>
      </c>
    </row>
    <row r="6" spans="1:4">
      <c r="A6" s="5">
        <v>38</v>
      </c>
      <c r="B6" s="5" t="s">
        <v>244</v>
      </c>
      <c r="C6" s="27" t="s">
        <v>395</v>
      </c>
      <c r="D6" s="5" t="s">
        <v>395</v>
      </c>
    </row>
    <row r="7" spans="1:4">
      <c r="A7" s="5">
        <v>36</v>
      </c>
      <c r="B7" s="5" t="s">
        <v>311</v>
      </c>
      <c r="C7" s="27" t="s">
        <v>395</v>
      </c>
      <c r="D7" s="5" t="s">
        <v>395</v>
      </c>
    </row>
    <row r="8" spans="1:4">
      <c r="A8" s="5">
        <v>4</v>
      </c>
      <c r="B8" s="5" t="s">
        <v>289</v>
      </c>
      <c r="C8" s="27" t="s">
        <v>395</v>
      </c>
      <c r="D8" s="5" t="s">
        <v>395</v>
      </c>
    </row>
    <row r="9" spans="1:4">
      <c r="A9" s="5">
        <v>36</v>
      </c>
      <c r="B9" s="5" t="s">
        <v>361</v>
      </c>
      <c r="C9" s="27" t="s">
        <v>395</v>
      </c>
      <c r="D9" s="5" t="s">
        <v>395</v>
      </c>
    </row>
    <row r="10" spans="1:4">
      <c r="A10" s="5">
        <v>22</v>
      </c>
      <c r="B10" s="5" t="s">
        <v>346</v>
      </c>
      <c r="C10" s="27" t="s">
        <v>395</v>
      </c>
      <c r="D10" s="5" t="s">
        <v>395</v>
      </c>
    </row>
    <row r="11" spans="1:4">
      <c r="A11" s="5">
        <v>22</v>
      </c>
      <c r="B11" s="5" t="s">
        <v>185</v>
      </c>
      <c r="C11" s="27" t="s">
        <v>395</v>
      </c>
      <c r="D11" s="5" t="s">
        <v>395</v>
      </c>
    </row>
    <row r="12" spans="1:4">
      <c r="A12" s="5">
        <v>13</v>
      </c>
      <c r="B12" s="5" t="s">
        <v>58</v>
      </c>
      <c r="C12" s="27" t="s">
        <v>395</v>
      </c>
      <c r="D12" s="5" t="s">
        <v>395</v>
      </c>
    </row>
    <row r="13" spans="1:4">
      <c r="A13" s="5">
        <v>32</v>
      </c>
      <c r="B13" s="5" t="s">
        <v>235</v>
      </c>
      <c r="C13" s="27" t="s">
        <v>395</v>
      </c>
      <c r="D13" s="5" t="s">
        <v>371</v>
      </c>
    </row>
    <row r="14" spans="1:4">
      <c r="A14" s="5">
        <v>32</v>
      </c>
      <c r="B14" s="5" t="s">
        <v>235</v>
      </c>
      <c r="C14" s="27" t="s">
        <v>395</v>
      </c>
      <c r="D14" s="5" t="s">
        <v>371</v>
      </c>
    </row>
    <row r="15" spans="1:4">
      <c r="A15" s="5">
        <v>18</v>
      </c>
      <c r="B15" s="5" t="s">
        <v>279</v>
      </c>
      <c r="C15" s="27" t="s">
        <v>395</v>
      </c>
      <c r="D15" s="5" t="s">
        <v>395</v>
      </c>
    </row>
    <row r="16" spans="1:4">
      <c r="A16" s="5">
        <v>35</v>
      </c>
      <c r="B16" s="5" t="s">
        <v>317</v>
      </c>
      <c r="C16" s="27" t="s">
        <v>395</v>
      </c>
      <c r="D16" s="5" t="s">
        <v>395</v>
      </c>
    </row>
    <row r="17" spans="1:4">
      <c r="A17" s="5">
        <v>32</v>
      </c>
      <c r="B17" s="5" t="s">
        <v>262</v>
      </c>
      <c r="C17" s="27" t="s">
        <v>395</v>
      </c>
      <c r="D17" s="5" t="s">
        <v>395</v>
      </c>
    </row>
    <row r="18" spans="1:4">
      <c r="A18" s="5">
        <v>20</v>
      </c>
      <c r="B18" s="5" t="s">
        <v>354</v>
      </c>
      <c r="C18" s="27" t="s">
        <v>395</v>
      </c>
      <c r="D18" s="5" t="s">
        <v>376</v>
      </c>
    </row>
    <row r="19" spans="1:4">
      <c r="A19" s="5">
        <v>5</v>
      </c>
      <c r="B19" s="5" t="s">
        <v>203</v>
      </c>
      <c r="C19" s="27" t="s">
        <v>395</v>
      </c>
      <c r="D19" s="5" t="s">
        <v>395</v>
      </c>
    </row>
    <row r="20" spans="1:4">
      <c r="A20" s="5">
        <v>29</v>
      </c>
      <c r="B20" s="5" t="s">
        <v>203</v>
      </c>
      <c r="C20" s="27" t="s">
        <v>395</v>
      </c>
      <c r="D20" s="5" t="s">
        <v>395</v>
      </c>
    </row>
    <row r="21" spans="1:4">
      <c r="A21" s="5">
        <v>19</v>
      </c>
      <c r="B21" s="5" t="s">
        <v>214</v>
      </c>
      <c r="C21" s="27" t="s">
        <v>395</v>
      </c>
      <c r="D21" s="5" t="s">
        <v>395</v>
      </c>
    </row>
    <row r="22" spans="1:4">
      <c r="A22" s="5">
        <v>19</v>
      </c>
      <c r="B22" s="5" t="s">
        <v>136</v>
      </c>
      <c r="C22" s="27" t="s">
        <v>395</v>
      </c>
      <c r="D22" s="5" t="s">
        <v>395</v>
      </c>
    </row>
    <row r="23" spans="1:4">
      <c r="A23" s="5">
        <v>19</v>
      </c>
      <c r="B23" s="5" t="s">
        <v>363</v>
      </c>
      <c r="C23" s="27" t="s">
        <v>395</v>
      </c>
      <c r="D23" s="5" t="s">
        <v>395</v>
      </c>
    </row>
    <row r="24" spans="1:4">
      <c r="A24" s="5">
        <v>25</v>
      </c>
      <c r="B24" s="5" t="s">
        <v>334</v>
      </c>
      <c r="C24" s="27" t="s">
        <v>395</v>
      </c>
      <c r="D24" s="5" t="s">
        <v>395</v>
      </c>
    </row>
    <row r="25" spans="1:4">
      <c r="A25" s="5">
        <v>38</v>
      </c>
      <c r="B25" s="5" t="s">
        <v>172</v>
      </c>
      <c r="C25" s="27" t="s">
        <v>395</v>
      </c>
      <c r="D25" s="5" t="s">
        <v>395</v>
      </c>
    </row>
    <row r="26" spans="1:4">
      <c r="A26" s="5">
        <v>8</v>
      </c>
      <c r="B26" s="5" t="s">
        <v>323</v>
      </c>
      <c r="C26" s="27" t="s">
        <v>395</v>
      </c>
      <c r="D26" s="5" t="s">
        <v>395</v>
      </c>
    </row>
    <row r="27" spans="1:4">
      <c r="A27" s="5">
        <v>17</v>
      </c>
      <c r="B27" s="5" t="s">
        <v>292</v>
      </c>
      <c r="C27" s="27" t="s">
        <v>395</v>
      </c>
      <c r="D27" s="5" t="s">
        <v>395</v>
      </c>
    </row>
    <row r="28" spans="1:4">
      <c r="A28" s="5">
        <v>16</v>
      </c>
      <c r="B28" s="5" t="s">
        <v>211</v>
      </c>
      <c r="C28" s="27" t="s">
        <v>395</v>
      </c>
      <c r="D28" s="5" t="s">
        <v>395</v>
      </c>
    </row>
    <row r="29" spans="1:4">
      <c r="A29" s="5">
        <v>2</v>
      </c>
      <c r="B29" s="5" t="s">
        <v>319</v>
      </c>
      <c r="C29" s="27" t="s">
        <v>381</v>
      </c>
      <c r="D29" s="5" t="s">
        <v>371</v>
      </c>
    </row>
    <row r="30" spans="1:4">
      <c r="A30" s="5">
        <v>37</v>
      </c>
      <c r="B30" s="5" t="s">
        <v>267</v>
      </c>
      <c r="C30" s="27" t="s">
        <v>381</v>
      </c>
      <c r="D30" s="5" t="s">
        <v>381</v>
      </c>
    </row>
    <row r="31" spans="1:4">
      <c r="A31" s="5">
        <v>39</v>
      </c>
      <c r="B31" s="5" t="s">
        <v>271</v>
      </c>
      <c r="C31" s="27" t="s">
        <v>381</v>
      </c>
      <c r="D31" s="5" t="s">
        <v>381</v>
      </c>
    </row>
    <row r="32" spans="1:4">
      <c r="A32" s="5">
        <v>8</v>
      </c>
      <c r="B32" s="5" t="s">
        <v>133</v>
      </c>
      <c r="C32" s="27" t="s">
        <v>381</v>
      </c>
      <c r="D32" s="5" t="s">
        <v>381</v>
      </c>
    </row>
    <row r="33" spans="1:4">
      <c r="A33" s="5">
        <v>8</v>
      </c>
      <c r="B33" s="5" t="s">
        <v>275</v>
      </c>
      <c r="C33" s="27" t="s">
        <v>381</v>
      </c>
      <c r="D33" s="5" t="s">
        <v>381</v>
      </c>
    </row>
    <row r="34" spans="1:4">
      <c r="A34" s="5">
        <v>32</v>
      </c>
      <c r="B34" s="5" t="s">
        <v>196</v>
      </c>
      <c r="C34" s="27" t="s">
        <v>381</v>
      </c>
      <c r="D34" s="5" t="s">
        <v>381</v>
      </c>
    </row>
    <row r="35" spans="1:4">
      <c r="A35" s="5">
        <v>26</v>
      </c>
      <c r="B35" s="5" t="s">
        <v>301</v>
      </c>
      <c r="C35" s="27" t="s">
        <v>381</v>
      </c>
      <c r="D35" s="5" t="s">
        <v>381</v>
      </c>
    </row>
    <row r="36" spans="1:4">
      <c r="A36" s="5">
        <v>7</v>
      </c>
      <c r="B36" s="5" t="s">
        <v>205</v>
      </c>
      <c r="C36" s="27" t="s">
        <v>381</v>
      </c>
      <c r="D36" s="5" t="s">
        <v>381</v>
      </c>
    </row>
    <row r="37" spans="1:4">
      <c r="A37" s="5">
        <v>21</v>
      </c>
      <c r="B37" s="5" t="s">
        <v>296</v>
      </c>
      <c r="C37" s="27" t="s">
        <v>381</v>
      </c>
      <c r="D37" s="5" t="s">
        <v>381</v>
      </c>
    </row>
    <row r="38" spans="1:4">
      <c r="A38" s="5">
        <v>26</v>
      </c>
      <c r="B38" s="5" t="s">
        <v>300</v>
      </c>
      <c r="C38" s="27" t="s">
        <v>381</v>
      </c>
      <c r="D38" s="5" t="s">
        <v>381</v>
      </c>
    </row>
    <row r="39" spans="1:4">
      <c r="A39" s="5">
        <v>5</v>
      </c>
      <c r="B39" s="5" t="s">
        <v>202</v>
      </c>
      <c r="C39" s="27" t="s">
        <v>381</v>
      </c>
      <c r="D39" s="5" t="s">
        <v>381</v>
      </c>
    </row>
    <row r="40" spans="1:4">
      <c r="A40" s="5">
        <v>26</v>
      </c>
      <c r="B40" s="5" t="s">
        <v>158</v>
      </c>
      <c r="C40" s="27" t="s">
        <v>381</v>
      </c>
      <c r="D40" s="5" t="s">
        <v>381</v>
      </c>
    </row>
    <row r="41" spans="1:4">
      <c r="A41" s="5">
        <v>27</v>
      </c>
      <c r="B41" s="5" t="s">
        <v>302</v>
      </c>
      <c r="C41" s="27" t="s">
        <v>381</v>
      </c>
      <c r="D41" s="5" t="s">
        <v>381</v>
      </c>
    </row>
    <row r="42" spans="1:4">
      <c r="A42" s="5">
        <v>33</v>
      </c>
      <c r="B42" s="5" t="s">
        <v>306</v>
      </c>
      <c r="C42" s="27" t="s">
        <v>381</v>
      </c>
      <c r="D42" s="5" t="s">
        <v>381</v>
      </c>
    </row>
    <row r="43" spans="1:4">
      <c r="A43" s="5">
        <v>21</v>
      </c>
      <c r="B43" s="5" t="s">
        <v>298</v>
      </c>
      <c r="C43" s="27" t="s">
        <v>381</v>
      </c>
      <c r="D43" s="5" t="s">
        <v>381</v>
      </c>
    </row>
    <row r="44" spans="1:4">
      <c r="A44" s="5">
        <v>28</v>
      </c>
      <c r="B44" s="5" t="s">
        <v>303</v>
      </c>
      <c r="C44" s="27" t="s">
        <v>381</v>
      </c>
      <c r="D44" s="5" t="s">
        <v>381</v>
      </c>
    </row>
    <row r="45" spans="1:4">
      <c r="A45" s="5">
        <v>31</v>
      </c>
      <c r="B45" s="5" t="s">
        <v>305</v>
      </c>
      <c r="C45" s="27" t="s">
        <v>381</v>
      </c>
      <c r="D45" s="5" t="s">
        <v>381</v>
      </c>
    </row>
    <row r="46" spans="1:4">
      <c r="A46" s="5">
        <v>28</v>
      </c>
      <c r="B46" s="5" t="s">
        <v>304</v>
      </c>
      <c r="C46" s="27" t="s">
        <v>381</v>
      </c>
      <c r="D46" s="5" t="s">
        <v>381</v>
      </c>
    </row>
    <row r="47" spans="1:4">
      <c r="A47" s="5">
        <v>33</v>
      </c>
      <c r="B47" s="5" t="s">
        <v>263</v>
      </c>
      <c r="C47" s="27" t="s">
        <v>381</v>
      </c>
      <c r="D47" s="5" t="s">
        <v>381</v>
      </c>
    </row>
    <row r="48" spans="1:4">
      <c r="A48" s="5">
        <v>34</v>
      </c>
      <c r="B48" s="5" t="s">
        <v>264</v>
      </c>
      <c r="C48" s="27" t="s">
        <v>381</v>
      </c>
      <c r="D48" s="5" t="s">
        <v>381</v>
      </c>
    </row>
    <row r="49" spans="1:4">
      <c r="A49" s="5">
        <v>33</v>
      </c>
      <c r="B49" s="5" t="s">
        <v>308</v>
      </c>
      <c r="C49" s="27" t="s">
        <v>381</v>
      </c>
      <c r="D49" s="5" t="s">
        <v>381</v>
      </c>
    </row>
    <row r="50" spans="1:4">
      <c r="A50" s="5">
        <v>7</v>
      </c>
      <c r="B50" s="5" t="s">
        <v>274</v>
      </c>
      <c r="C50" s="27" t="s">
        <v>381</v>
      </c>
      <c r="D50" s="5" t="s">
        <v>381</v>
      </c>
    </row>
    <row r="51" spans="1:4">
      <c r="A51" s="5">
        <v>3</v>
      </c>
      <c r="B51" s="5" t="s">
        <v>250</v>
      </c>
      <c r="C51" s="27" t="s">
        <v>381</v>
      </c>
      <c r="D51" s="5" t="s">
        <v>381</v>
      </c>
    </row>
    <row r="52" spans="1:4">
      <c r="A52" s="5">
        <v>4</v>
      </c>
      <c r="B52" s="5" t="s">
        <v>288</v>
      </c>
      <c r="C52" s="27" t="s">
        <v>381</v>
      </c>
      <c r="D52" s="5" t="s">
        <v>381</v>
      </c>
    </row>
    <row r="53" spans="1:4">
      <c r="A53" s="5">
        <v>7</v>
      </c>
      <c r="B53" s="5" t="s">
        <v>204</v>
      </c>
      <c r="C53" s="27" t="s">
        <v>381</v>
      </c>
      <c r="D53" s="5" t="s">
        <v>381</v>
      </c>
    </row>
    <row r="54" spans="1:4">
      <c r="A54" s="5">
        <v>3</v>
      </c>
      <c r="B54" s="5" t="s">
        <v>321</v>
      </c>
      <c r="C54" s="27" t="s">
        <v>381</v>
      </c>
      <c r="D54" s="5" t="s">
        <v>381</v>
      </c>
    </row>
    <row r="55" spans="1:4">
      <c r="A55" s="5">
        <v>21</v>
      </c>
      <c r="B55" s="5" t="s">
        <v>297</v>
      </c>
      <c r="C55" s="27" t="s">
        <v>381</v>
      </c>
      <c r="D55" s="5" t="s">
        <v>395</v>
      </c>
    </row>
    <row r="56" spans="1:4">
      <c r="A56" s="5">
        <v>24</v>
      </c>
      <c r="B56" s="5" t="s">
        <v>53</v>
      </c>
      <c r="C56" s="27" t="s">
        <v>381</v>
      </c>
      <c r="D56" s="5" t="s">
        <v>381</v>
      </c>
    </row>
    <row r="57" spans="1:4">
      <c r="A57" s="5">
        <v>2</v>
      </c>
      <c r="B57" s="5" t="s">
        <v>273</v>
      </c>
      <c r="C57" s="27" t="s">
        <v>381</v>
      </c>
      <c r="D57" s="5" t="s">
        <v>381</v>
      </c>
    </row>
    <row r="58" spans="1:4">
      <c r="A58" s="5">
        <v>32</v>
      </c>
      <c r="B58" s="5" t="s">
        <v>197</v>
      </c>
      <c r="C58" s="27" t="s">
        <v>381</v>
      </c>
      <c r="D58" s="5" t="s">
        <v>395</v>
      </c>
    </row>
    <row r="59" spans="1:4">
      <c r="A59" s="5">
        <v>41</v>
      </c>
      <c r="B59" s="5" t="s">
        <v>197</v>
      </c>
      <c r="C59" s="27" t="s">
        <v>381</v>
      </c>
      <c r="D59" s="5" t="s">
        <v>395</v>
      </c>
    </row>
    <row r="60" spans="1:4">
      <c r="A60" s="5">
        <v>6</v>
      </c>
      <c r="B60" s="5" t="s">
        <v>151</v>
      </c>
      <c r="C60" s="27" t="s">
        <v>381</v>
      </c>
      <c r="D60" s="5" t="s">
        <v>376</v>
      </c>
    </row>
    <row r="61" spans="1:4">
      <c r="A61" s="5">
        <v>23</v>
      </c>
      <c r="B61" s="5" t="s">
        <v>222</v>
      </c>
      <c r="C61" s="27" t="s">
        <v>381</v>
      </c>
      <c r="D61" s="5" t="s">
        <v>381</v>
      </c>
    </row>
    <row r="62" spans="1:4">
      <c r="A62" s="5">
        <v>10</v>
      </c>
      <c r="B62" s="5" t="s">
        <v>277</v>
      </c>
      <c r="C62" s="27" t="s">
        <v>381</v>
      </c>
      <c r="D62" s="5" t="s">
        <v>381</v>
      </c>
    </row>
    <row r="63" spans="1:4">
      <c r="A63" s="5">
        <v>9</v>
      </c>
      <c r="B63" s="5" t="s">
        <v>153</v>
      </c>
      <c r="C63" s="27" t="s">
        <v>381</v>
      </c>
      <c r="D63" s="5" t="s">
        <v>371</v>
      </c>
    </row>
    <row r="64" spans="1:4">
      <c r="A64" s="5">
        <v>25</v>
      </c>
      <c r="B64" s="5" t="s">
        <v>225</v>
      </c>
      <c r="C64" s="27" t="s">
        <v>381</v>
      </c>
      <c r="D64" s="5" t="s">
        <v>381</v>
      </c>
    </row>
    <row r="65" spans="1:4">
      <c r="A65" s="5">
        <v>2</v>
      </c>
      <c r="B65" s="5" t="s">
        <v>249</v>
      </c>
      <c r="C65" s="27" t="s">
        <v>381</v>
      </c>
      <c r="D65" s="5" t="s">
        <v>381</v>
      </c>
    </row>
    <row r="66" spans="1:4">
      <c r="A66" s="5">
        <v>4</v>
      </c>
      <c r="B66" s="5" t="s">
        <v>200</v>
      </c>
      <c r="C66" s="27" t="s">
        <v>381</v>
      </c>
      <c r="D66" s="5" t="s">
        <v>381</v>
      </c>
    </row>
    <row r="67" spans="1:4">
      <c r="A67" s="5">
        <v>33</v>
      </c>
      <c r="B67" s="5" t="s">
        <v>307</v>
      </c>
      <c r="C67" s="27" t="s">
        <v>381</v>
      </c>
      <c r="D67" s="5" t="s">
        <v>381</v>
      </c>
    </row>
    <row r="68" spans="1:4">
      <c r="A68" s="5">
        <v>4</v>
      </c>
      <c r="B68" s="5" t="s">
        <v>190</v>
      </c>
      <c r="C68" s="27" t="s">
        <v>381</v>
      </c>
      <c r="D68" s="5" t="s">
        <v>381</v>
      </c>
    </row>
    <row r="69" spans="1:4">
      <c r="A69" s="5">
        <v>1</v>
      </c>
      <c r="B69" s="5" t="s">
        <v>190</v>
      </c>
      <c r="C69" s="27" t="s">
        <v>381</v>
      </c>
      <c r="D69" s="5" t="s">
        <v>381</v>
      </c>
    </row>
    <row r="70" spans="1:4">
      <c r="A70" s="5">
        <v>33</v>
      </c>
      <c r="B70" s="5" t="s">
        <v>190</v>
      </c>
      <c r="C70" s="27" t="s">
        <v>381</v>
      </c>
      <c r="D70" s="5" t="s">
        <v>381</v>
      </c>
    </row>
    <row r="71" spans="1:4">
      <c r="A71" s="5">
        <v>37</v>
      </c>
      <c r="B71" s="5" t="s">
        <v>148</v>
      </c>
      <c r="C71" s="27" t="s">
        <v>381</v>
      </c>
      <c r="D71" s="5" t="s">
        <v>381</v>
      </c>
    </row>
    <row r="72" spans="1:4">
      <c r="A72" s="5">
        <v>23</v>
      </c>
      <c r="B72" s="5" t="s">
        <v>221</v>
      </c>
      <c r="C72" s="27" t="s">
        <v>381</v>
      </c>
      <c r="D72" s="5" t="s">
        <v>381</v>
      </c>
    </row>
    <row r="73" spans="1:4">
      <c r="A73" s="5">
        <v>31</v>
      </c>
      <c r="B73" s="5" t="s">
        <v>230</v>
      </c>
      <c r="C73" s="27" t="s">
        <v>381</v>
      </c>
      <c r="D73" s="5" t="s">
        <v>381</v>
      </c>
    </row>
    <row r="74" spans="1:4">
      <c r="A74" s="5">
        <v>15</v>
      </c>
      <c r="B74" s="5" t="s">
        <v>210</v>
      </c>
      <c r="C74" s="27" t="s">
        <v>381</v>
      </c>
      <c r="D74" s="5" t="s">
        <v>381</v>
      </c>
    </row>
    <row r="75" spans="1:4">
      <c r="A75" s="5">
        <v>16</v>
      </c>
      <c r="B75" s="5" t="s">
        <v>212</v>
      </c>
      <c r="C75" s="27" t="s">
        <v>381</v>
      </c>
      <c r="D75" s="5" t="s">
        <v>381</v>
      </c>
    </row>
    <row r="76" spans="1:4">
      <c r="A76" s="5">
        <v>32</v>
      </c>
      <c r="B76" s="5" t="s">
        <v>261</v>
      </c>
      <c r="C76" s="27" t="s">
        <v>381</v>
      </c>
      <c r="D76" s="5" t="s">
        <v>381</v>
      </c>
    </row>
    <row r="77" spans="1:4">
      <c r="A77" s="5">
        <v>38</v>
      </c>
      <c r="B77" s="5" t="s">
        <v>270</v>
      </c>
      <c r="C77" s="27" t="s">
        <v>381</v>
      </c>
      <c r="D77" s="5" t="s">
        <v>381</v>
      </c>
    </row>
    <row r="78" spans="1:4">
      <c r="A78" s="5">
        <v>36</v>
      </c>
      <c r="B78" s="5" t="s">
        <v>265</v>
      </c>
      <c r="C78" s="27" t="s">
        <v>381</v>
      </c>
      <c r="D78" s="5" t="s">
        <v>381</v>
      </c>
    </row>
    <row r="79" spans="1:4">
      <c r="A79" s="5">
        <v>6</v>
      </c>
      <c r="B79" s="5" t="s">
        <v>251</v>
      </c>
      <c r="C79" s="27" t="s">
        <v>381</v>
      </c>
      <c r="D79" s="5" t="s">
        <v>381</v>
      </c>
    </row>
    <row r="80" spans="1:4">
      <c r="A80" s="5">
        <v>25</v>
      </c>
      <c r="B80" s="5" t="s">
        <v>179</v>
      </c>
      <c r="C80" s="27" t="s">
        <v>381</v>
      </c>
      <c r="D80" s="5" t="s">
        <v>381</v>
      </c>
    </row>
    <row r="81" spans="1:4">
      <c r="A81" s="5">
        <v>40</v>
      </c>
      <c r="B81" s="5" t="s">
        <v>180</v>
      </c>
      <c r="C81" s="27" t="s">
        <v>381</v>
      </c>
      <c r="D81" s="5" t="s">
        <v>381</v>
      </c>
    </row>
    <row r="82" spans="1:4">
      <c r="A82" s="5">
        <v>10</v>
      </c>
      <c r="B82" s="5" t="s">
        <v>144</v>
      </c>
      <c r="C82" s="27" t="s">
        <v>381</v>
      </c>
      <c r="D82" s="5" t="s">
        <v>381</v>
      </c>
    </row>
    <row r="83" spans="1:4">
      <c r="A83" s="5">
        <v>21</v>
      </c>
      <c r="B83" s="5" t="s">
        <v>194</v>
      </c>
      <c r="C83" s="27" t="s">
        <v>381</v>
      </c>
      <c r="D83" s="5" t="s">
        <v>381</v>
      </c>
    </row>
    <row r="84" spans="1:4">
      <c r="A84" s="5">
        <v>23</v>
      </c>
      <c r="B84" s="5" t="s">
        <v>257</v>
      </c>
      <c r="C84" s="27" t="s">
        <v>381</v>
      </c>
      <c r="D84" s="5" t="s">
        <v>364</v>
      </c>
    </row>
    <row r="85" spans="1:4">
      <c r="A85" s="5">
        <v>12</v>
      </c>
      <c r="B85" s="5" t="s">
        <v>192</v>
      </c>
      <c r="C85" s="27" t="s">
        <v>381</v>
      </c>
      <c r="D85" s="5" t="s">
        <v>364</v>
      </c>
    </row>
    <row r="86" spans="1:4">
      <c r="A86" s="5">
        <v>2</v>
      </c>
      <c r="B86" s="5" t="s">
        <v>189</v>
      </c>
      <c r="C86" s="27" t="s">
        <v>381</v>
      </c>
      <c r="D86" s="5" t="s">
        <v>364</v>
      </c>
    </row>
    <row r="87" spans="1:4">
      <c r="A87" s="5">
        <v>5</v>
      </c>
      <c r="B87" s="5" t="s">
        <v>201</v>
      </c>
      <c r="C87" s="27" t="s">
        <v>381</v>
      </c>
      <c r="D87" s="5" t="s">
        <v>381</v>
      </c>
    </row>
    <row r="88" spans="1:4">
      <c r="A88" s="5">
        <v>39</v>
      </c>
      <c r="B88" s="5" t="s">
        <v>150</v>
      </c>
      <c r="C88" s="27" t="s">
        <v>381</v>
      </c>
      <c r="D88" s="5" t="s">
        <v>381</v>
      </c>
    </row>
    <row r="89" spans="1:4">
      <c r="A89" s="5">
        <v>31</v>
      </c>
      <c r="B89" s="5" t="s">
        <v>167</v>
      </c>
      <c r="C89" s="27" t="s">
        <v>381</v>
      </c>
      <c r="D89" s="5" t="s">
        <v>381</v>
      </c>
    </row>
    <row r="90" spans="1:4">
      <c r="A90" s="5">
        <v>37</v>
      </c>
      <c r="B90" s="5" t="s">
        <v>129</v>
      </c>
      <c r="C90" s="27" t="s">
        <v>381</v>
      </c>
      <c r="D90" s="5" t="s">
        <v>381</v>
      </c>
    </row>
    <row r="91" spans="1:4">
      <c r="A91" s="5">
        <v>1</v>
      </c>
      <c r="B91" s="5" t="s">
        <v>183</v>
      </c>
      <c r="C91" s="27" t="s">
        <v>381</v>
      </c>
      <c r="D91" s="5" t="s">
        <v>381</v>
      </c>
    </row>
    <row r="92" spans="1:4">
      <c r="A92" s="5">
        <v>37</v>
      </c>
      <c r="B92" s="5" t="s">
        <v>131</v>
      </c>
      <c r="C92" s="27" t="s">
        <v>381</v>
      </c>
      <c r="D92" s="5" t="s">
        <v>381</v>
      </c>
    </row>
    <row r="93" spans="1:4">
      <c r="A93" s="5">
        <v>41</v>
      </c>
      <c r="B93" s="5" t="s">
        <v>182</v>
      </c>
      <c r="C93" s="27" t="s">
        <v>381</v>
      </c>
      <c r="D93" s="5" t="s">
        <v>381</v>
      </c>
    </row>
    <row r="94" spans="1:4">
      <c r="A94" s="5">
        <v>36</v>
      </c>
      <c r="B94" s="5" t="s">
        <v>127</v>
      </c>
      <c r="C94" s="27" t="s">
        <v>381</v>
      </c>
      <c r="D94" s="5" t="s">
        <v>381</v>
      </c>
    </row>
    <row r="95" spans="1:4">
      <c r="A95" s="5">
        <v>37</v>
      </c>
      <c r="B95" s="5" t="s">
        <v>130</v>
      </c>
      <c r="C95" s="27" t="s">
        <v>381</v>
      </c>
      <c r="D95" s="5" t="s">
        <v>381</v>
      </c>
    </row>
    <row r="96" spans="1:4">
      <c r="A96" s="5">
        <v>19</v>
      </c>
      <c r="B96" s="5" t="s">
        <v>215</v>
      </c>
      <c r="C96" s="27" t="s">
        <v>381</v>
      </c>
      <c r="D96" s="5" t="s">
        <v>381</v>
      </c>
    </row>
    <row r="97" spans="1:4">
      <c r="A97" s="5">
        <v>31</v>
      </c>
      <c r="B97" s="5" t="s">
        <v>140</v>
      </c>
      <c r="C97" s="27" t="s">
        <v>381</v>
      </c>
      <c r="D97" s="5" t="s">
        <v>381</v>
      </c>
    </row>
    <row r="98" spans="1:4">
      <c r="A98" s="5">
        <v>31</v>
      </c>
      <c r="B98" s="5" t="s">
        <v>169</v>
      </c>
      <c r="C98" s="27" t="s">
        <v>381</v>
      </c>
      <c r="D98" s="5" t="s">
        <v>381</v>
      </c>
    </row>
    <row r="99" spans="1:4">
      <c r="A99" s="5">
        <v>1</v>
      </c>
      <c r="B99" s="5" t="s">
        <v>248</v>
      </c>
      <c r="C99" s="27" t="s">
        <v>381</v>
      </c>
      <c r="D99" s="5" t="s">
        <v>381</v>
      </c>
    </row>
    <row r="100" spans="1:4">
      <c r="A100" s="5">
        <v>27</v>
      </c>
      <c r="B100" s="5" t="s">
        <v>337</v>
      </c>
      <c r="C100" s="27" t="s">
        <v>381</v>
      </c>
      <c r="D100" s="5" t="s">
        <v>381</v>
      </c>
    </row>
    <row r="101" spans="1:4">
      <c r="A101" s="5">
        <v>37</v>
      </c>
      <c r="B101" s="5" t="s">
        <v>171</v>
      </c>
      <c r="C101" s="27" t="s">
        <v>381</v>
      </c>
      <c r="D101" s="5" t="s">
        <v>381</v>
      </c>
    </row>
    <row r="102" spans="1:4">
      <c r="A102" s="5">
        <v>37</v>
      </c>
      <c r="B102" s="5" t="s">
        <v>171</v>
      </c>
      <c r="C102" s="27" t="s">
        <v>381</v>
      </c>
      <c r="D102" s="5" t="s">
        <v>381</v>
      </c>
    </row>
    <row r="103" spans="1:4">
      <c r="A103" s="5">
        <v>20</v>
      </c>
      <c r="B103" s="5" t="s">
        <v>220</v>
      </c>
      <c r="C103" s="27" t="s">
        <v>381</v>
      </c>
      <c r="D103" s="5" t="s">
        <v>381</v>
      </c>
    </row>
    <row r="104" spans="1:4">
      <c r="A104" s="5">
        <v>37</v>
      </c>
      <c r="B104" s="5" t="s">
        <v>266</v>
      </c>
      <c r="C104" s="27" t="s">
        <v>381</v>
      </c>
      <c r="D104" s="5" t="s">
        <v>381</v>
      </c>
    </row>
    <row r="105" spans="1:4">
      <c r="A105" s="5">
        <v>31</v>
      </c>
      <c r="B105" s="5" t="s">
        <v>231</v>
      </c>
      <c r="C105" s="27" t="s">
        <v>381</v>
      </c>
      <c r="D105" s="5" t="s">
        <v>381</v>
      </c>
    </row>
    <row r="106" spans="1:4">
      <c r="A106" s="5">
        <v>25</v>
      </c>
      <c r="B106" s="5" t="s">
        <v>231</v>
      </c>
      <c r="C106" s="27" t="s">
        <v>381</v>
      </c>
      <c r="D106" s="5" t="s">
        <v>381</v>
      </c>
    </row>
    <row r="107" spans="1:4">
      <c r="A107" s="5">
        <v>20</v>
      </c>
      <c r="B107" s="5" t="s">
        <v>217</v>
      </c>
      <c r="C107" s="27" t="s">
        <v>381</v>
      </c>
      <c r="D107" s="5" t="s">
        <v>381</v>
      </c>
    </row>
    <row r="108" spans="1:4">
      <c r="A108" s="5">
        <v>6</v>
      </c>
      <c r="B108" s="5" t="s">
        <v>252</v>
      </c>
      <c r="C108" s="27" t="s">
        <v>381</v>
      </c>
      <c r="D108" s="5" t="s">
        <v>381</v>
      </c>
    </row>
    <row r="109" spans="1:4">
      <c r="A109" s="5">
        <v>41</v>
      </c>
      <c r="B109" s="5" t="s">
        <v>312</v>
      </c>
      <c r="C109" s="27" t="s">
        <v>381</v>
      </c>
      <c r="D109" s="5" t="s">
        <v>381</v>
      </c>
    </row>
    <row r="110" spans="1:4">
      <c r="A110" s="5">
        <v>9</v>
      </c>
      <c r="B110" s="5" t="s">
        <v>276</v>
      </c>
      <c r="C110" s="27" t="s">
        <v>381</v>
      </c>
      <c r="D110" s="5" t="s">
        <v>381</v>
      </c>
    </row>
    <row r="111" spans="1:4">
      <c r="A111" s="5">
        <v>20</v>
      </c>
      <c r="B111" s="5" t="s">
        <v>219</v>
      </c>
      <c r="C111" s="27" t="s">
        <v>381</v>
      </c>
      <c r="D111" s="5" t="s">
        <v>381</v>
      </c>
    </row>
    <row r="112" spans="1:4">
      <c r="A112" s="5">
        <v>30</v>
      </c>
      <c r="B112" s="5" t="s">
        <v>229</v>
      </c>
      <c r="C112" s="27" t="s">
        <v>381</v>
      </c>
      <c r="D112" s="5" t="s">
        <v>381</v>
      </c>
    </row>
    <row r="113" spans="1:4">
      <c r="A113" s="5">
        <v>25</v>
      </c>
      <c r="B113" s="5" t="s">
        <v>335</v>
      </c>
      <c r="C113" s="27" t="s">
        <v>381</v>
      </c>
      <c r="D113" s="5" t="s">
        <v>381</v>
      </c>
    </row>
    <row r="114" spans="1:4">
      <c r="A114" s="5">
        <v>28</v>
      </c>
      <c r="B114" s="5" t="s">
        <v>258</v>
      </c>
      <c r="C114" s="27" t="s">
        <v>381</v>
      </c>
      <c r="D114" s="5" t="s">
        <v>376</v>
      </c>
    </row>
    <row r="115" spans="1:4">
      <c r="A115" s="5">
        <v>37</v>
      </c>
      <c r="B115" s="5" t="s">
        <v>287</v>
      </c>
      <c r="C115" s="27" t="s">
        <v>381</v>
      </c>
      <c r="D115" s="5" t="s">
        <v>381</v>
      </c>
    </row>
    <row r="116" spans="1:4">
      <c r="A116" s="5">
        <v>33</v>
      </c>
      <c r="B116" s="5" t="s">
        <v>164</v>
      </c>
      <c r="C116" s="27" t="s">
        <v>381</v>
      </c>
      <c r="D116" s="5" t="s">
        <v>381</v>
      </c>
    </row>
    <row r="117" spans="1:4">
      <c r="A117" s="5">
        <v>25</v>
      </c>
      <c r="B117" s="5" t="s">
        <v>224</v>
      </c>
      <c r="C117" s="27" t="s">
        <v>381</v>
      </c>
      <c r="D117" s="5" t="s">
        <v>381</v>
      </c>
    </row>
    <row r="118" spans="1:4">
      <c r="A118" s="5">
        <v>20</v>
      </c>
      <c r="B118" s="5" t="s">
        <v>218</v>
      </c>
      <c r="C118" s="27" t="s">
        <v>381</v>
      </c>
      <c r="D118" s="5" t="s">
        <v>381</v>
      </c>
    </row>
    <row r="119" spans="1:4">
      <c r="A119" s="5">
        <v>18</v>
      </c>
      <c r="B119" s="5" t="s">
        <v>255</v>
      </c>
      <c r="C119" s="27" t="s">
        <v>381</v>
      </c>
      <c r="D119" s="5" t="s">
        <v>381</v>
      </c>
    </row>
    <row r="120" spans="1:4">
      <c r="A120" s="5">
        <v>12</v>
      </c>
      <c r="B120" s="5" t="s">
        <v>193</v>
      </c>
      <c r="C120" s="27" t="s">
        <v>381</v>
      </c>
      <c r="D120" s="5" t="s">
        <v>381</v>
      </c>
    </row>
    <row r="121" spans="1:4">
      <c r="A121" s="5">
        <v>13</v>
      </c>
      <c r="B121" s="5" t="s">
        <v>209</v>
      </c>
      <c r="C121" s="27" t="s">
        <v>381</v>
      </c>
      <c r="D121" s="5" t="s">
        <v>381</v>
      </c>
    </row>
    <row r="122" spans="1:4">
      <c r="A122" s="5">
        <v>13</v>
      </c>
      <c r="B122" s="5" t="s">
        <v>208</v>
      </c>
      <c r="C122" s="27" t="s">
        <v>381</v>
      </c>
      <c r="D122" s="5" t="s">
        <v>381</v>
      </c>
    </row>
    <row r="123" spans="1:4">
      <c r="A123" s="5">
        <v>36</v>
      </c>
      <c r="B123" s="5" t="s">
        <v>362</v>
      </c>
      <c r="C123" s="27" t="s">
        <v>376</v>
      </c>
      <c r="D123" s="5" t="s">
        <v>376</v>
      </c>
    </row>
    <row r="124" spans="1:4">
      <c r="A124" s="5">
        <v>26</v>
      </c>
      <c r="B124" s="5" t="s">
        <v>316</v>
      </c>
      <c r="C124" s="27" t="s">
        <v>376</v>
      </c>
      <c r="D124" s="5" t="s">
        <v>376</v>
      </c>
    </row>
    <row r="125" spans="1:4">
      <c r="A125" s="5">
        <v>33</v>
      </c>
      <c r="B125" s="5" t="s">
        <v>309</v>
      </c>
      <c r="C125" s="27" t="s">
        <v>376</v>
      </c>
      <c r="D125" s="5" t="s">
        <v>376</v>
      </c>
    </row>
    <row r="126" spans="1:4">
      <c r="A126" s="5">
        <v>34</v>
      </c>
      <c r="B126" s="5" t="s">
        <v>310</v>
      </c>
      <c r="C126" s="27" t="s">
        <v>376</v>
      </c>
      <c r="D126" s="5" t="s">
        <v>376</v>
      </c>
    </row>
    <row r="127" spans="1:4">
      <c r="A127" s="5">
        <v>32</v>
      </c>
      <c r="B127" s="5" t="s">
        <v>161</v>
      </c>
      <c r="C127" s="27" t="s">
        <v>376</v>
      </c>
      <c r="D127" s="5" t="s">
        <v>376</v>
      </c>
    </row>
    <row r="128" spans="1:4">
      <c r="A128" s="5">
        <v>20</v>
      </c>
      <c r="B128" s="5" t="s">
        <v>294</v>
      </c>
      <c r="C128" s="27" t="s">
        <v>376</v>
      </c>
      <c r="D128" s="5" t="s">
        <v>371</v>
      </c>
    </row>
    <row r="129" spans="1:4">
      <c r="A129" s="5">
        <v>22</v>
      </c>
      <c r="B129" s="5" t="s">
        <v>358</v>
      </c>
      <c r="C129" s="27" t="s">
        <v>376</v>
      </c>
      <c r="D129" s="5" t="s">
        <v>376</v>
      </c>
    </row>
    <row r="130" spans="1:4">
      <c r="A130" s="5">
        <v>7</v>
      </c>
      <c r="B130" s="5" t="s">
        <v>322</v>
      </c>
      <c r="C130" s="27" t="s">
        <v>376</v>
      </c>
      <c r="D130" s="5" t="s">
        <v>376</v>
      </c>
    </row>
    <row r="131" spans="1:4">
      <c r="A131" s="5">
        <v>32</v>
      </c>
      <c r="B131" s="5" t="s">
        <v>322</v>
      </c>
      <c r="C131" s="27" t="s">
        <v>376</v>
      </c>
      <c r="D131" s="5" t="s">
        <v>376</v>
      </c>
    </row>
    <row r="132" spans="1:4">
      <c r="A132" s="5">
        <v>29</v>
      </c>
      <c r="B132" s="5" t="s">
        <v>329</v>
      </c>
      <c r="C132" s="27" t="s">
        <v>376</v>
      </c>
      <c r="D132" s="5" t="s">
        <v>376</v>
      </c>
    </row>
    <row r="133" spans="1:4">
      <c r="A133" s="5">
        <v>31</v>
      </c>
      <c r="B133" s="5" t="s">
        <v>160</v>
      </c>
      <c r="C133" s="27" t="s">
        <v>376</v>
      </c>
      <c r="D133" s="5" t="s">
        <v>381</v>
      </c>
    </row>
    <row r="134" spans="1:4">
      <c r="A134" s="5">
        <v>18</v>
      </c>
      <c r="B134" s="5" t="s">
        <v>353</v>
      </c>
      <c r="C134" s="27" t="s">
        <v>376</v>
      </c>
      <c r="D134" s="5" t="s">
        <v>376</v>
      </c>
    </row>
    <row r="135" spans="1:4">
      <c r="A135" s="5">
        <v>20</v>
      </c>
      <c r="B135" s="5" t="s">
        <v>155</v>
      </c>
      <c r="C135" s="27" t="s">
        <v>376</v>
      </c>
      <c r="D135" s="5" t="s">
        <v>376</v>
      </c>
    </row>
    <row r="136" spans="1:4">
      <c r="A136" s="5">
        <v>32</v>
      </c>
      <c r="B136" s="5" t="s">
        <v>283</v>
      </c>
      <c r="C136" s="27" t="s">
        <v>376</v>
      </c>
      <c r="D136" s="5" t="s">
        <v>381</v>
      </c>
    </row>
    <row r="137" spans="1:4">
      <c r="A137" s="5">
        <v>32</v>
      </c>
      <c r="B137" s="5" t="s">
        <v>234</v>
      </c>
      <c r="C137" s="27" t="s">
        <v>376</v>
      </c>
      <c r="D137" s="5" t="s">
        <v>381</v>
      </c>
    </row>
    <row r="138" spans="1:4">
      <c r="A138" s="5">
        <v>37</v>
      </c>
      <c r="B138" s="5" t="s">
        <v>268</v>
      </c>
      <c r="C138" s="27" t="s">
        <v>376</v>
      </c>
      <c r="D138" s="5" t="s">
        <v>376</v>
      </c>
    </row>
    <row r="139" spans="1:4">
      <c r="A139" s="5">
        <v>1</v>
      </c>
      <c r="B139" s="5" t="s">
        <v>272</v>
      </c>
      <c r="C139" s="27" t="s">
        <v>376</v>
      </c>
      <c r="D139" s="5" t="s">
        <v>395</v>
      </c>
    </row>
    <row r="140" spans="1:4">
      <c r="A140" s="5">
        <v>30</v>
      </c>
      <c r="B140" s="5" t="s">
        <v>139</v>
      </c>
      <c r="C140" s="27" t="s">
        <v>376</v>
      </c>
      <c r="D140" s="5" t="s">
        <v>371</v>
      </c>
    </row>
    <row r="141" spans="1:4">
      <c r="A141" s="5">
        <v>31</v>
      </c>
      <c r="B141" s="5" t="s">
        <v>259</v>
      </c>
      <c r="C141" s="27" t="s">
        <v>376</v>
      </c>
      <c r="D141" s="5" t="s">
        <v>376</v>
      </c>
    </row>
    <row r="142" spans="1:4">
      <c r="A142" s="5">
        <v>7</v>
      </c>
      <c r="B142" s="5" t="s">
        <v>332</v>
      </c>
      <c r="C142" s="27" t="s">
        <v>376</v>
      </c>
      <c r="D142" s="5" t="s">
        <v>376</v>
      </c>
    </row>
    <row r="143" spans="1:4">
      <c r="A143" s="5">
        <v>22</v>
      </c>
      <c r="B143" s="5" t="s">
        <v>152</v>
      </c>
      <c r="C143" s="27" t="s">
        <v>376</v>
      </c>
      <c r="D143" s="5" t="s">
        <v>376</v>
      </c>
    </row>
    <row r="144" spans="1:4">
      <c r="A144" s="5">
        <v>15</v>
      </c>
      <c r="B144" s="5" t="s">
        <v>54</v>
      </c>
      <c r="C144" s="27" t="s">
        <v>376</v>
      </c>
      <c r="D144" s="5" t="s">
        <v>364</v>
      </c>
    </row>
    <row r="145" spans="1:4">
      <c r="A145" s="5">
        <v>12</v>
      </c>
      <c r="B145" s="5" t="s">
        <v>154</v>
      </c>
      <c r="C145" s="27" t="s">
        <v>376</v>
      </c>
      <c r="D145" s="5" t="s">
        <v>376</v>
      </c>
    </row>
    <row r="146" spans="1:4">
      <c r="A146" s="5">
        <v>33</v>
      </c>
      <c r="B146" s="5" t="s">
        <v>237</v>
      </c>
      <c r="C146" s="27" t="s">
        <v>376</v>
      </c>
      <c r="D146" s="5" t="s">
        <v>376</v>
      </c>
    </row>
    <row r="147" spans="1:4">
      <c r="A147" s="5">
        <v>32</v>
      </c>
      <c r="B147" s="5" t="s">
        <v>237</v>
      </c>
      <c r="C147" s="27" t="s">
        <v>376</v>
      </c>
      <c r="D147" s="5" t="s">
        <v>376</v>
      </c>
    </row>
    <row r="148" spans="1:4">
      <c r="A148" s="5">
        <v>21</v>
      </c>
      <c r="B148" s="5" t="s">
        <v>357</v>
      </c>
      <c r="C148" s="27" t="s">
        <v>376</v>
      </c>
      <c r="D148" s="5" t="s">
        <v>376</v>
      </c>
    </row>
    <row r="149" spans="1:4">
      <c r="A149" s="5">
        <v>24</v>
      </c>
      <c r="B149" s="5" t="s">
        <v>281</v>
      </c>
      <c r="C149" s="27" t="s">
        <v>376</v>
      </c>
      <c r="D149" s="5" t="s">
        <v>376</v>
      </c>
    </row>
    <row r="150" spans="1:4">
      <c r="A150" s="5">
        <v>13</v>
      </c>
      <c r="B150" s="5" t="s">
        <v>324</v>
      </c>
      <c r="C150" s="27" t="s">
        <v>376</v>
      </c>
      <c r="D150" s="5" t="s">
        <v>376</v>
      </c>
    </row>
    <row r="151" spans="1:4">
      <c r="A151" s="5">
        <v>14</v>
      </c>
      <c r="B151" s="5" t="s">
        <v>324</v>
      </c>
      <c r="C151" s="27" t="s">
        <v>376</v>
      </c>
      <c r="D151" s="5" t="s">
        <v>376</v>
      </c>
    </row>
    <row r="152" spans="1:4">
      <c r="A152" s="5">
        <v>3</v>
      </c>
      <c r="B152" s="5" t="s">
        <v>320</v>
      </c>
      <c r="C152" s="27" t="s">
        <v>376</v>
      </c>
      <c r="D152" s="5" t="s">
        <v>376</v>
      </c>
    </row>
    <row r="153" spans="1:4">
      <c r="A153" s="5">
        <v>28</v>
      </c>
      <c r="B153" s="5" t="s">
        <v>359</v>
      </c>
      <c r="C153" s="27" t="s">
        <v>376</v>
      </c>
      <c r="D153" s="5" t="s">
        <v>376</v>
      </c>
    </row>
    <row r="154" spans="1:4">
      <c r="A154" s="5">
        <v>37</v>
      </c>
      <c r="B154" s="5" t="s">
        <v>348</v>
      </c>
      <c r="C154" s="27" t="s">
        <v>376</v>
      </c>
      <c r="D154" s="5" t="s">
        <v>376</v>
      </c>
    </row>
    <row r="155" spans="1:4">
      <c r="A155" s="5">
        <v>36</v>
      </c>
      <c r="B155" s="5" t="s">
        <v>343</v>
      </c>
      <c r="C155" s="27" t="s">
        <v>376</v>
      </c>
      <c r="D155" s="5" t="s">
        <v>376</v>
      </c>
    </row>
    <row r="156" spans="1:4">
      <c r="A156" s="5">
        <v>9</v>
      </c>
      <c r="B156" s="5" t="s">
        <v>333</v>
      </c>
      <c r="C156" s="27" t="s">
        <v>376</v>
      </c>
      <c r="D156" s="5" t="s">
        <v>376</v>
      </c>
    </row>
    <row r="157" spans="1:4">
      <c r="A157" s="5">
        <v>20</v>
      </c>
      <c r="B157" s="5" t="s">
        <v>333</v>
      </c>
      <c r="C157" s="27" t="s">
        <v>376</v>
      </c>
      <c r="D157" s="5" t="s">
        <v>376</v>
      </c>
    </row>
    <row r="158" spans="1:4">
      <c r="A158" s="5">
        <v>23</v>
      </c>
      <c r="B158" s="5" t="s">
        <v>325</v>
      </c>
      <c r="C158" s="27" t="s">
        <v>376</v>
      </c>
      <c r="D158" s="5" t="s">
        <v>376</v>
      </c>
    </row>
    <row r="159" spans="1:4">
      <c r="A159" s="5">
        <v>11</v>
      </c>
      <c r="B159" s="5" t="s">
        <v>314</v>
      </c>
      <c r="C159" s="27" t="s">
        <v>376</v>
      </c>
      <c r="D159" s="5" t="s">
        <v>376</v>
      </c>
    </row>
    <row r="160" spans="1:4">
      <c r="A160" s="5">
        <v>2</v>
      </c>
      <c r="B160" s="5" t="s">
        <v>314</v>
      </c>
      <c r="C160" s="27" t="s">
        <v>376</v>
      </c>
      <c r="D160" s="5" t="s">
        <v>376</v>
      </c>
    </row>
    <row r="161" spans="1:4">
      <c r="A161" s="5">
        <v>9</v>
      </c>
      <c r="B161" s="5" t="s">
        <v>314</v>
      </c>
      <c r="C161" s="27" t="s">
        <v>376</v>
      </c>
      <c r="D161" s="5" t="s">
        <v>376</v>
      </c>
    </row>
    <row r="162" spans="1:4">
      <c r="A162" s="5">
        <v>37</v>
      </c>
      <c r="B162" s="5" t="s">
        <v>314</v>
      </c>
      <c r="C162" s="27" t="s">
        <v>376</v>
      </c>
      <c r="D162" s="5" t="s">
        <v>376</v>
      </c>
    </row>
    <row r="163" spans="1:4">
      <c r="A163" s="5">
        <v>37</v>
      </c>
      <c r="B163" s="5" t="s">
        <v>314</v>
      </c>
      <c r="C163" s="27" t="s">
        <v>376</v>
      </c>
      <c r="D163" s="5" t="s">
        <v>376</v>
      </c>
    </row>
    <row r="164" spans="1:4">
      <c r="A164" s="5">
        <v>26</v>
      </c>
      <c r="B164" s="5" t="s">
        <v>336</v>
      </c>
      <c r="C164" s="27" t="s">
        <v>376</v>
      </c>
      <c r="D164" s="5" t="s">
        <v>376</v>
      </c>
    </row>
    <row r="165" spans="1:4">
      <c r="A165" s="5">
        <v>23</v>
      </c>
      <c r="B165" s="5" t="s">
        <v>326</v>
      </c>
      <c r="C165" s="27" t="s">
        <v>376</v>
      </c>
      <c r="D165" s="5" t="s">
        <v>376</v>
      </c>
    </row>
    <row r="166" spans="1:4">
      <c r="A166" s="5">
        <v>33</v>
      </c>
      <c r="B166" s="5" t="s">
        <v>238</v>
      </c>
      <c r="C166" s="27" t="s">
        <v>376</v>
      </c>
      <c r="D166" s="5" t="s">
        <v>371</v>
      </c>
    </row>
    <row r="167" spans="1:4">
      <c r="A167" s="5">
        <v>33</v>
      </c>
      <c r="B167" s="5" t="s">
        <v>238</v>
      </c>
      <c r="C167" s="27" t="s">
        <v>376</v>
      </c>
      <c r="D167" s="5" t="s">
        <v>371</v>
      </c>
    </row>
    <row r="168" spans="1:4">
      <c r="A168" s="5">
        <v>20</v>
      </c>
      <c r="B168" s="5" t="s">
        <v>295</v>
      </c>
      <c r="C168" s="27" t="s">
        <v>376</v>
      </c>
      <c r="D168" s="5" t="s">
        <v>376</v>
      </c>
    </row>
    <row r="169" spans="1:4">
      <c r="A169" s="5">
        <v>32</v>
      </c>
      <c r="B169" s="5" t="s">
        <v>170</v>
      </c>
      <c r="C169" s="27" t="s">
        <v>376</v>
      </c>
      <c r="D169" s="5" t="s">
        <v>376</v>
      </c>
    </row>
    <row r="170" spans="1:4">
      <c r="A170" s="5">
        <v>27</v>
      </c>
      <c r="B170" s="5" t="s">
        <v>170</v>
      </c>
      <c r="C170" s="27" t="s">
        <v>376</v>
      </c>
      <c r="D170" s="5" t="s">
        <v>376</v>
      </c>
    </row>
    <row r="171" spans="1:4">
      <c r="A171" s="5">
        <v>16</v>
      </c>
      <c r="B171" s="5" t="s">
        <v>344</v>
      </c>
      <c r="C171" s="27" t="s">
        <v>376</v>
      </c>
      <c r="D171" s="5" t="s">
        <v>376</v>
      </c>
    </row>
    <row r="172" spans="1:4">
      <c r="A172" s="5">
        <v>20</v>
      </c>
      <c r="B172" s="5" t="s">
        <v>315</v>
      </c>
      <c r="C172" s="27" t="s">
        <v>376</v>
      </c>
      <c r="D172" s="5" t="s">
        <v>376</v>
      </c>
    </row>
    <row r="173" spans="1:4">
      <c r="A173" s="5">
        <v>37</v>
      </c>
      <c r="B173" s="5" t="s">
        <v>242</v>
      </c>
      <c r="C173" s="27" t="s">
        <v>376</v>
      </c>
      <c r="D173" s="5" t="s">
        <v>376</v>
      </c>
    </row>
    <row r="174" spans="1:4">
      <c r="A174" s="5">
        <v>38</v>
      </c>
      <c r="B174" s="5" t="s">
        <v>269</v>
      </c>
      <c r="C174" s="27" t="s">
        <v>376</v>
      </c>
      <c r="D174" s="5" t="s">
        <v>376</v>
      </c>
    </row>
    <row r="175" spans="1:4">
      <c r="A175" s="5">
        <v>35</v>
      </c>
      <c r="B175" s="5" t="s">
        <v>342</v>
      </c>
      <c r="C175" s="27" t="s">
        <v>376</v>
      </c>
      <c r="D175" s="5" t="s">
        <v>376</v>
      </c>
    </row>
    <row r="176" spans="1:4">
      <c r="A176" s="5">
        <v>25</v>
      </c>
      <c r="B176" s="5" t="s">
        <v>223</v>
      </c>
      <c r="C176" s="27" t="s">
        <v>376</v>
      </c>
      <c r="D176" s="5" t="s">
        <v>376</v>
      </c>
    </row>
    <row r="177" spans="1:4">
      <c r="A177" s="5">
        <v>13</v>
      </c>
      <c r="B177" s="5" t="s">
        <v>145</v>
      </c>
      <c r="C177" s="27" t="s">
        <v>376</v>
      </c>
      <c r="D177" s="5" t="s">
        <v>376</v>
      </c>
    </row>
    <row r="178" spans="1:4">
      <c r="A178" s="5">
        <v>20</v>
      </c>
      <c r="B178" s="5" t="s">
        <v>156</v>
      </c>
      <c r="C178" s="27" t="s">
        <v>376</v>
      </c>
      <c r="D178" s="5" t="s">
        <v>376</v>
      </c>
    </row>
    <row r="179" spans="1:4">
      <c r="A179" s="5">
        <v>37</v>
      </c>
      <c r="B179" s="5" t="s">
        <v>347</v>
      </c>
      <c r="C179" s="27" t="s">
        <v>376</v>
      </c>
      <c r="D179" s="5" t="s">
        <v>376</v>
      </c>
    </row>
    <row r="180" spans="1:4">
      <c r="A180" s="5">
        <v>28</v>
      </c>
      <c r="B180" s="5" t="s">
        <v>360</v>
      </c>
      <c r="C180" s="27" t="s">
        <v>376</v>
      </c>
      <c r="D180" s="5" t="s">
        <v>376</v>
      </c>
    </row>
    <row r="181" spans="1:4">
      <c r="A181" s="5">
        <v>18</v>
      </c>
      <c r="B181" s="5" t="s">
        <v>352</v>
      </c>
      <c r="C181" s="27" t="s">
        <v>376</v>
      </c>
      <c r="D181" s="5" t="s">
        <v>376</v>
      </c>
    </row>
    <row r="182" spans="1:4">
      <c r="A182" s="5">
        <v>20</v>
      </c>
      <c r="B182" s="5" t="s">
        <v>216</v>
      </c>
      <c r="C182" s="27" t="s">
        <v>376</v>
      </c>
      <c r="D182" s="5" t="s">
        <v>376</v>
      </c>
    </row>
    <row r="183" spans="1:4">
      <c r="A183" s="5">
        <v>32</v>
      </c>
      <c r="B183" s="5" t="s">
        <v>232</v>
      </c>
      <c r="C183" s="27" t="s">
        <v>376</v>
      </c>
      <c r="D183" s="5" t="s">
        <v>376</v>
      </c>
    </row>
    <row r="184" spans="1:4">
      <c r="A184" s="5">
        <v>25</v>
      </c>
      <c r="B184" s="5" t="s">
        <v>232</v>
      </c>
      <c r="C184" s="27" t="s">
        <v>376</v>
      </c>
      <c r="D184" s="5" t="s">
        <v>376</v>
      </c>
    </row>
    <row r="185" spans="1:4">
      <c r="A185" s="5">
        <v>40</v>
      </c>
      <c r="B185" s="5" t="s">
        <v>198</v>
      </c>
      <c r="C185" s="27" t="s">
        <v>376</v>
      </c>
      <c r="D185" s="5" t="s">
        <v>376</v>
      </c>
    </row>
    <row r="186" spans="1:4">
      <c r="A186" s="5">
        <v>28</v>
      </c>
      <c r="B186" s="5" t="s">
        <v>159</v>
      </c>
      <c r="C186" s="27" t="s">
        <v>376</v>
      </c>
      <c r="D186" s="5" t="s">
        <v>376</v>
      </c>
    </row>
    <row r="187" spans="1:4">
      <c r="A187" s="5">
        <v>41</v>
      </c>
      <c r="B187" s="5" t="s">
        <v>313</v>
      </c>
      <c r="C187" s="27" t="s">
        <v>376</v>
      </c>
      <c r="D187" s="5" t="s">
        <v>376</v>
      </c>
    </row>
    <row r="188" spans="1:4">
      <c r="A188" s="5">
        <v>2</v>
      </c>
      <c r="B188" s="5" t="s">
        <v>350</v>
      </c>
      <c r="C188" s="27" t="s">
        <v>371</v>
      </c>
      <c r="D188" s="5" t="s">
        <v>371</v>
      </c>
    </row>
    <row r="189" spans="1:4">
      <c r="A189" s="5">
        <v>11</v>
      </c>
      <c r="B189" s="5" t="s">
        <v>135</v>
      </c>
      <c r="C189" s="27" t="s">
        <v>371</v>
      </c>
      <c r="D189" s="5" t="s">
        <v>371</v>
      </c>
    </row>
    <row r="190" spans="1:4">
      <c r="A190" s="5">
        <v>27</v>
      </c>
      <c r="B190" s="5" t="s">
        <v>146</v>
      </c>
      <c r="C190" s="27" t="s">
        <v>371</v>
      </c>
      <c r="D190" s="5" t="s">
        <v>371</v>
      </c>
    </row>
    <row r="191" spans="1:4">
      <c r="A191" s="5">
        <v>7</v>
      </c>
      <c r="B191" s="5" t="s">
        <v>174</v>
      </c>
      <c r="C191" s="27" t="s">
        <v>371</v>
      </c>
      <c r="D191" s="5" t="s">
        <v>371</v>
      </c>
    </row>
    <row r="192" spans="1:4">
      <c r="A192" s="5">
        <v>20</v>
      </c>
      <c r="B192" s="5" t="s">
        <v>174</v>
      </c>
      <c r="C192" s="27" t="s">
        <v>371</v>
      </c>
      <c r="D192" s="5" t="s">
        <v>371</v>
      </c>
    </row>
    <row r="193" spans="1:4">
      <c r="A193" s="5">
        <v>25</v>
      </c>
      <c r="B193" s="5" t="s">
        <v>157</v>
      </c>
      <c r="C193" s="27" t="s">
        <v>371</v>
      </c>
      <c r="D193" s="5" t="s">
        <v>371</v>
      </c>
    </row>
    <row r="194" spans="1:4">
      <c r="A194" s="5">
        <v>20</v>
      </c>
      <c r="B194" s="5" t="s">
        <v>356</v>
      </c>
      <c r="C194" s="27" t="s">
        <v>371</v>
      </c>
      <c r="D194" s="5" t="s">
        <v>371</v>
      </c>
    </row>
    <row r="195" spans="1:4">
      <c r="A195" s="5">
        <v>40</v>
      </c>
      <c r="B195" s="5" t="s">
        <v>143</v>
      </c>
      <c r="C195" s="27" t="s">
        <v>371</v>
      </c>
      <c r="D195" s="5" t="s">
        <v>371</v>
      </c>
    </row>
    <row r="196" spans="1:4">
      <c r="A196" s="5">
        <v>8</v>
      </c>
      <c r="B196" s="5" t="s">
        <v>124</v>
      </c>
      <c r="C196" s="27" t="s">
        <v>371</v>
      </c>
      <c r="D196" s="5" t="s">
        <v>371</v>
      </c>
    </row>
    <row r="197" spans="1:4">
      <c r="A197" s="5">
        <v>40</v>
      </c>
      <c r="B197" s="5" t="s">
        <v>318</v>
      </c>
      <c r="C197" s="27" t="s">
        <v>371</v>
      </c>
      <c r="D197" s="5" t="s">
        <v>371</v>
      </c>
    </row>
    <row r="198" spans="1:4">
      <c r="A198" s="5">
        <v>14</v>
      </c>
      <c r="B198" s="5" t="s">
        <v>177</v>
      </c>
      <c r="C198" s="27" t="s">
        <v>371</v>
      </c>
      <c r="D198" s="5" t="s">
        <v>371</v>
      </c>
    </row>
    <row r="199" spans="1:4">
      <c r="A199" s="5">
        <v>14</v>
      </c>
      <c r="B199" s="5" t="s">
        <v>176</v>
      </c>
      <c r="C199" s="27" t="s">
        <v>371</v>
      </c>
      <c r="D199" s="5" t="s">
        <v>371</v>
      </c>
    </row>
    <row r="200" spans="1:4">
      <c r="A200" s="5">
        <v>20</v>
      </c>
      <c r="B200" s="5" t="s">
        <v>178</v>
      </c>
      <c r="C200" s="27" t="s">
        <v>371</v>
      </c>
      <c r="D200" s="5" t="s">
        <v>381</v>
      </c>
    </row>
    <row r="201" spans="1:4">
      <c r="A201" s="5">
        <v>11</v>
      </c>
      <c r="B201" s="5" t="s">
        <v>166</v>
      </c>
      <c r="C201" s="27" t="s">
        <v>371</v>
      </c>
      <c r="D201" s="5" t="s">
        <v>371</v>
      </c>
    </row>
    <row r="202" spans="1:4">
      <c r="A202" s="5">
        <v>8</v>
      </c>
      <c r="B202" s="5" t="s">
        <v>175</v>
      </c>
      <c r="C202" s="27" t="s">
        <v>371</v>
      </c>
      <c r="D202" s="5" t="s">
        <v>371</v>
      </c>
    </row>
    <row r="203" spans="1:4">
      <c r="A203" s="5">
        <v>12</v>
      </c>
      <c r="B203" s="5" t="s">
        <v>207</v>
      </c>
      <c r="C203" s="27" t="s">
        <v>371</v>
      </c>
      <c r="D203" s="5" t="s">
        <v>371</v>
      </c>
    </row>
    <row r="204" spans="1:4">
      <c r="A204" s="5">
        <v>8</v>
      </c>
      <c r="B204" s="5" t="s">
        <v>253</v>
      </c>
      <c r="C204" s="27" t="s">
        <v>371</v>
      </c>
      <c r="D204" s="5" t="s">
        <v>371</v>
      </c>
    </row>
    <row r="205" spans="1:4">
      <c r="A205" s="5">
        <v>20</v>
      </c>
      <c r="B205" s="5" t="s">
        <v>253</v>
      </c>
      <c r="C205" s="27" t="s">
        <v>371</v>
      </c>
      <c r="D205" s="5" t="s">
        <v>371</v>
      </c>
    </row>
    <row r="206" spans="1:4">
      <c r="A206" s="5">
        <v>8</v>
      </c>
      <c r="B206" s="5" t="s">
        <v>163</v>
      </c>
      <c r="C206" s="27" t="s">
        <v>371</v>
      </c>
      <c r="D206" s="5" t="s">
        <v>371</v>
      </c>
    </row>
    <row r="207" spans="1:4">
      <c r="A207" s="5">
        <v>11</v>
      </c>
      <c r="B207" s="5" t="s">
        <v>163</v>
      </c>
      <c r="C207" s="27" t="s">
        <v>371</v>
      </c>
      <c r="D207" s="5" t="s">
        <v>371</v>
      </c>
    </row>
    <row r="208" spans="1:4">
      <c r="A208" s="5">
        <v>40</v>
      </c>
      <c r="B208" s="5" t="s">
        <v>247</v>
      </c>
      <c r="C208" s="27" t="s">
        <v>371</v>
      </c>
      <c r="D208" s="5" t="s">
        <v>371</v>
      </c>
    </row>
    <row r="209" spans="1:4">
      <c r="A209" s="5">
        <v>6</v>
      </c>
      <c r="B209" s="5" t="s">
        <v>165</v>
      </c>
      <c r="C209" s="27" t="s">
        <v>371</v>
      </c>
      <c r="D209" s="5" t="s">
        <v>371</v>
      </c>
    </row>
    <row r="210" spans="1:4">
      <c r="A210" s="5">
        <v>19</v>
      </c>
      <c r="B210" s="5" t="s">
        <v>188</v>
      </c>
      <c r="C210" s="27" t="s">
        <v>371</v>
      </c>
      <c r="D210" s="5" t="s">
        <v>371</v>
      </c>
    </row>
    <row r="211" spans="1:4">
      <c r="A211" s="5">
        <v>17</v>
      </c>
      <c r="B211" s="5" t="s">
        <v>351</v>
      </c>
      <c r="C211" s="27" t="s">
        <v>371</v>
      </c>
      <c r="D211" s="5" t="s">
        <v>371</v>
      </c>
    </row>
    <row r="212" spans="1:4">
      <c r="A212" s="5">
        <v>20</v>
      </c>
      <c r="B212" s="5" t="s">
        <v>355</v>
      </c>
      <c r="C212" s="27" t="s">
        <v>371</v>
      </c>
      <c r="D212" s="5" t="s">
        <v>371</v>
      </c>
    </row>
    <row r="213" spans="1:4">
      <c r="A213" s="5">
        <v>37</v>
      </c>
      <c r="B213" s="5" t="s">
        <v>149</v>
      </c>
      <c r="C213" s="27" t="s">
        <v>371</v>
      </c>
      <c r="D213" s="5" t="s">
        <v>395</v>
      </c>
    </row>
    <row r="214" spans="1:4">
      <c r="A214" s="5">
        <v>26</v>
      </c>
      <c r="B214" s="5" t="s">
        <v>328</v>
      </c>
      <c r="C214" s="27" t="s">
        <v>371</v>
      </c>
      <c r="D214" s="5" t="s">
        <v>371</v>
      </c>
    </row>
    <row r="215" spans="1:4">
      <c r="A215" s="5">
        <v>3</v>
      </c>
      <c r="B215" s="5" t="s">
        <v>199</v>
      </c>
      <c r="C215" s="27" t="s">
        <v>371</v>
      </c>
      <c r="D215" s="5" t="s">
        <v>371</v>
      </c>
    </row>
    <row r="216" spans="1:4">
      <c r="A216" s="5">
        <v>10</v>
      </c>
      <c r="B216" s="5" t="s">
        <v>184</v>
      </c>
      <c r="C216" s="27" t="s">
        <v>371</v>
      </c>
      <c r="D216" s="5" t="s">
        <v>371</v>
      </c>
    </row>
    <row r="217" spans="1:4">
      <c r="A217" s="5">
        <v>32</v>
      </c>
      <c r="B217" s="5" t="s">
        <v>284</v>
      </c>
      <c r="C217" s="27" t="s">
        <v>371</v>
      </c>
      <c r="D217" s="5" t="s">
        <v>371</v>
      </c>
    </row>
    <row r="218" spans="1:4">
      <c r="A218" s="5">
        <v>29</v>
      </c>
      <c r="B218" s="5" t="s">
        <v>228</v>
      </c>
      <c r="C218" s="27" t="s">
        <v>371</v>
      </c>
      <c r="D218" s="5" t="s">
        <v>371</v>
      </c>
    </row>
    <row r="219" spans="1:4">
      <c r="A219" s="5">
        <v>24</v>
      </c>
      <c r="B219" s="5" t="s">
        <v>280</v>
      </c>
      <c r="C219" s="27" t="s">
        <v>371</v>
      </c>
      <c r="D219" s="5" t="s">
        <v>371</v>
      </c>
    </row>
    <row r="220" spans="1:4">
      <c r="A220" s="5">
        <v>41</v>
      </c>
      <c r="B220" s="5" t="s">
        <v>173</v>
      </c>
      <c r="C220" s="27" t="s">
        <v>371</v>
      </c>
      <c r="D220" s="5" t="s">
        <v>371</v>
      </c>
    </row>
    <row r="221" spans="1:4">
      <c r="A221" s="5">
        <v>1</v>
      </c>
      <c r="B221" s="5" t="s">
        <v>349</v>
      </c>
      <c r="C221" s="27" t="s">
        <v>371</v>
      </c>
      <c r="D221" s="5" t="s">
        <v>371</v>
      </c>
    </row>
    <row r="222" spans="1:4">
      <c r="A222" s="5">
        <v>24</v>
      </c>
      <c r="B222" s="5" t="s">
        <v>186</v>
      </c>
      <c r="C222" s="27" t="s">
        <v>371</v>
      </c>
      <c r="D222" s="5" t="s">
        <v>371</v>
      </c>
    </row>
    <row r="223" spans="1:4">
      <c r="A223" s="5">
        <v>19</v>
      </c>
      <c r="B223" s="5" t="s">
        <v>293</v>
      </c>
      <c r="C223" s="27" t="s">
        <v>371</v>
      </c>
      <c r="D223" s="5" t="s">
        <v>371</v>
      </c>
    </row>
    <row r="224" spans="1:4">
      <c r="A224" s="5">
        <v>12</v>
      </c>
      <c r="B224" s="5" t="s">
        <v>191</v>
      </c>
      <c r="C224" s="27" t="s">
        <v>371</v>
      </c>
      <c r="D224" s="5" t="s">
        <v>371</v>
      </c>
    </row>
    <row r="225" spans="1:4">
      <c r="A225" s="5">
        <v>9</v>
      </c>
      <c r="B225" s="5" t="s">
        <v>191</v>
      </c>
      <c r="C225" s="27" t="s">
        <v>371</v>
      </c>
      <c r="D225" s="5" t="s">
        <v>371</v>
      </c>
    </row>
    <row r="226" spans="1:4">
      <c r="A226" s="5">
        <v>23</v>
      </c>
      <c r="B226" s="5" t="s">
        <v>327</v>
      </c>
      <c r="C226" s="27" t="s">
        <v>371</v>
      </c>
      <c r="D226" s="5" t="s">
        <v>371</v>
      </c>
    </row>
    <row r="227" spans="1:4">
      <c r="A227" s="5">
        <v>30</v>
      </c>
      <c r="B227" s="5" t="s">
        <v>339</v>
      </c>
      <c r="C227" s="27" t="s">
        <v>371</v>
      </c>
      <c r="D227" s="5" t="s">
        <v>371</v>
      </c>
    </row>
    <row r="228" spans="1:4">
      <c r="A228" s="5">
        <v>11</v>
      </c>
      <c r="B228" s="5" t="s">
        <v>134</v>
      </c>
      <c r="C228" s="27" t="s">
        <v>371</v>
      </c>
      <c r="D228" s="5" t="s">
        <v>371</v>
      </c>
    </row>
    <row r="229" spans="1:4">
      <c r="A229" s="5">
        <v>18</v>
      </c>
      <c r="B229" s="5" t="s">
        <v>345</v>
      </c>
      <c r="C229" s="27" t="s">
        <v>371</v>
      </c>
      <c r="D229" s="5" t="s">
        <v>371</v>
      </c>
    </row>
    <row r="230" spans="1:4">
      <c r="A230" s="5">
        <v>32</v>
      </c>
      <c r="B230" s="5" t="s">
        <v>147</v>
      </c>
      <c r="C230" s="27" t="s">
        <v>371</v>
      </c>
      <c r="D230" s="5" t="s">
        <v>395</v>
      </c>
    </row>
    <row r="231" spans="1:4">
      <c r="A231" s="5">
        <v>32</v>
      </c>
      <c r="B231" s="5" t="s">
        <v>260</v>
      </c>
      <c r="C231" s="27" t="s">
        <v>364</v>
      </c>
      <c r="D231" s="5" t="s">
        <v>364</v>
      </c>
    </row>
    <row r="232" spans="1:4">
      <c r="A232" s="5">
        <v>31</v>
      </c>
      <c r="B232" s="5" t="s">
        <v>367</v>
      </c>
      <c r="C232" s="27" t="s">
        <v>364</v>
      </c>
      <c r="D232" s="5" t="s">
        <v>364</v>
      </c>
    </row>
    <row r="233" spans="1:4">
      <c r="A233" s="5">
        <v>32</v>
      </c>
      <c r="B233" s="5" t="s">
        <v>340</v>
      </c>
      <c r="C233" s="27" t="s">
        <v>364</v>
      </c>
      <c r="D233" s="5" t="s">
        <v>364</v>
      </c>
    </row>
    <row r="234" spans="1:4">
      <c r="A234" s="5">
        <v>38</v>
      </c>
      <c r="B234" s="5" t="s">
        <v>162</v>
      </c>
      <c r="C234" s="27" t="s">
        <v>364</v>
      </c>
      <c r="D234" s="5" t="s">
        <v>364</v>
      </c>
    </row>
    <row r="235" spans="1:4">
      <c r="A235" s="5">
        <v>17</v>
      </c>
      <c r="B235" s="5" t="s">
        <v>290</v>
      </c>
      <c r="C235" s="27" t="s">
        <v>364</v>
      </c>
      <c r="D235" s="5" t="s">
        <v>364</v>
      </c>
    </row>
    <row r="236" spans="1:4">
      <c r="A236" s="5">
        <v>34</v>
      </c>
      <c r="B236" s="5" t="s">
        <v>240</v>
      </c>
      <c r="C236" s="27" t="s">
        <v>364</v>
      </c>
      <c r="D236" s="5" t="s">
        <v>364</v>
      </c>
    </row>
    <row r="237" spans="1:4">
      <c r="A237" s="5">
        <v>35</v>
      </c>
      <c r="B237" s="5" t="s">
        <v>240</v>
      </c>
      <c r="C237" s="27" t="s">
        <v>364</v>
      </c>
      <c r="D237" s="5" t="s">
        <v>364</v>
      </c>
    </row>
    <row r="238" spans="1:4">
      <c r="A238" s="5">
        <v>27</v>
      </c>
      <c r="B238" s="5" t="s">
        <v>226</v>
      </c>
      <c r="C238" s="27" t="s">
        <v>364</v>
      </c>
      <c r="D238" s="5" t="s">
        <v>364</v>
      </c>
    </row>
    <row r="239" spans="1:4">
      <c r="A239" s="5">
        <v>10</v>
      </c>
      <c r="B239" s="5" t="s">
        <v>278</v>
      </c>
      <c r="C239" s="27" t="s">
        <v>364</v>
      </c>
      <c r="D239" s="5" t="s">
        <v>364</v>
      </c>
    </row>
    <row r="240" spans="1:4">
      <c r="A240" s="5">
        <v>5</v>
      </c>
      <c r="B240" s="5" t="s">
        <v>132</v>
      </c>
      <c r="C240" s="27" t="s">
        <v>364</v>
      </c>
      <c r="D240" s="5" t="s">
        <v>381</v>
      </c>
    </row>
    <row r="241" spans="1:4">
      <c r="A241" s="5">
        <v>33</v>
      </c>
      <c r="B241" s="5" t="s">
        <v>141</v>
      </c>
      <c r="C241" s="27" t="s">
        <v>364</v>
      </c>
      <c r="D241" s="5" t="s">
        <v>364</v>
      </c>
    </row>
    <row r="242" spans="1:4">
      <c r="A242" s="5">
        <v>35</v>
      </c>
      <c r="B242" s="5" t="s">
        <v>141</v>
      </c>
      <c r="C242" s="27" t="s">
        <v>364</v>
      </c>
      <c r="D242" s="5" t="s">
        <v>364</v>
      </c>
    </row>
    <row r="243" spans="1:4">
      <c r="A243" s="5">
        <v>38</v>
      </c>
      <c r="B243" s="5" t="s">
        <v>243</v>
      </c>
      <c r="C243" s="27" t="s">
        <v>364</v>
      </c>
      <c r="D243" s="5" t="s">
        <v>364</v>
      </c>
    </row>
    <row r="244" spans="1:4">
      <c r="A244" s="5">
        <v>28</v>
      </c>
      <c r="B244" s="5" t="s">
        <v>138</v>
      </c>
      <c r="C244" s="27" t="s">
        <v>364</v>
      </c>
      <c r="D244" s="5" t="s">
        <v>364</v>
      </c>
    </row>
    <row r="245" spans="1:4">
      <c r="A245" s="5">
        <v>33</v>
      </c>
      <c r="B245" s="5" t="s">
        <v>369</v>
      </c>
      <c r="C245" s="27" t="s">
        <v>364</v>
      </c>
      <c r="D245" s="5" t="s">
        <v>364</v>
      </c>
    </row>
    <row r="246" spans="1:4">
      <c r="A246" s="5">
        <v>28</v>
      </c>
      <c r="B246" s="5" t="s">
        <v>227</v>
      </c>
      <c r="C246" s="27" t="s">
        <v>364</v>
      </c>
      <c r="D246" s="5" t="s">
        <v>364</v>
      </c>
    </row>
    <row r="247" spans="1:4">
      <c r="A247" s="5">
        <v>29</v>
      </c>
      <c r="B247" s="5" t="s">
        <v>338</v>
      </c>
      <c r="C247" s="27" t="s">
        <v>364</v>
      </c>
      <c r="D247" s="5" t="s">
        <v>364</v>
      </c>
    </row>
    <row r="248" spans="1:4">
      <c r="A248" s="5">
        <v>32</v>
      </c>
      <c r="B248" s="5" t="s">
        <v>233</v>
      </c>
      <c r="C248" s="27" t="s">
        <v>364</v>
      </c>
      <c r="D248" s="5" t="s">
        <v>364</v>
      </c>
    </row>
    <row r="249" spans="1:4">
      <c r="A249" s="5">
        <v>27</v>
      </c>
      <c r="B249" s="5" t="s">
        <v>282</v>
      </c>
      <c r="C249" s="27" t="s">
        <v>364</v>
      </c>
      <c r="D249" s="5" t="s">
        <v>364</v>
      </c>
    </row>
    <row r="250" spans="1:4">
      <c r="A250" s="5">
        <v>28</v>
      </c>
      <c r="B250" s="5" t="s">
        <v>137</v>
      </c>
      <c r="C250" s="27" t="s">
        <v>364</v>
      </c>
      <c r="D250" s="5" t="s">
        <v>364</v>
      </c>
    </row>
    <row r="251" spans="1:4">
      <c r="A251" s="5">
        <v>8</v>
      </c>
      <c r="B251" s="5" t="s">
        <v>206</v>
      </c>
      <c r="C251" s="27" t="s">
        <v>364</v>
      </c>
      <c r="D251" s="5" t="s">
        <v>364</v>
      </c>
    </row>
    <row r="252" spans="1:4">
      <c r="A252" s="5">
        <v>40</v>
      </c>
      <c r="B252" s="5" t="s">
        <v>181</v>
      </c>
      <c r="C252" s="27" t="s">
        <v>364</v>
      </c>
      <c r="D252" s="5" t="s">
        <v>364</v>
      </c>
    </row>
    <row r="253" spans="1:4">
      <c r="A253" s="5">
        <v>15</v>
      </c>
      <c r="B253" s="5" t="s">
        <v>254</v>
      </c>
      <c r="C253" s="27" t="s">
        <v>364</v>
      </c>
      <c r="D253" s="5" t="s">
        <v>364</v>
      </c>
    </row>
    <row r="254" spans="1:4">
      <c r="A254" s="5">
        <v>33</v>
      </c>
      <c r="B254" s="5" t="s">
        <v>239</v>
      </c>
      <c r="C254" s="27" t="s">
        <v>364</v>
      </c>
      <c r="D254" s="5" t="s">
        <v>364</v>
      </c>
    </row>
    <row r="255" spans="1:4">
      <c r="A255" s="5">
        <v>28</v>
      </c>
      <c r="B255" s="5" t="s">
        <v>366</v>
      </c>
      <c r="C255" s="27" t="s">
        <v>364</v>
      </c>
      <c r="D255" s="5" t="s">
        <v>364</v>
      </c>
    </row>
    <row r="256" spans="1:4">
      <c r="A256" s="5">
        <v>32</v>
      </c>
      <c r="B256" s="5" t="s">
        <v>285</v>
      </c>
      <c r="C256" s="27" t="s">
        <v>364</v>
      </c>
      <c r="D256" s="5" t="s">
        <v>381</v>
      </c>
    </row>
    <row r="257" spans="1:4">
      <c r="A257" s="5">
        <v>33</v>
      </c>
      <c r="B257" s="5" t="s">
        <v>330</v>
      </c>
      <c r="C257" s="27" t="s">
        <v>364</v>
      </c>
      <c r="D257" s="5" t="s">
        <v>364</v>
      </c>
    </row>
    <row r="258" spans="1:4">
      <c r="A258" s="5">
        <v>32</v>
      </c>
      <c r="B258" s="5" t="s">
        <v>126</v>
      </c>
      <c r="C258" s="27" t="s">
        <v>364</v>
      </c>
      <c r="D258" s="5" t="s">
        <v>364</v>
      </c>
    </row>
    <row r="259" spans="1:4">
      <c r="A259" s="5">
        <v>39</v>
      </c>
      <c r="B259" s="5" t="s">
        <v>245</v>
      </c>
      <c r="C259" s="27" t="s">
        <v>364</v>
      </c>
      <c r="D259" s="5" t="s">
        <v>364</v>
      </c>
    </row>
    <row r="260" spans="1:4">
      <c r="A260" s="5">
        <v>33</v>
      </c>
      <c r="B260" s="5" t="s">
        <v>236</v>
      </c>
      <c r="C260" s="27" t="s">
        <v>364</v>
      </c>
      <c r="D260" s="5" t="s">
        <v>364</v>
      </c>
    </row>
    <row r="261" spans="1:4">
      <c r="A261" s="5">
        <v>26</v>
      </c>
      <c r="B261" s="5" t="s">
        <v>365</v>
      </c>
      <c r="C261" s="27" t="s">
        <v>364</v>
      </c>
      <c r="D261" s="5" t="s">
        <v>364</v>
      </c>
    </row>
    <row r="262" spans="1:4">
      <c r="A262" s="5">
        <v>37</v>
      </c>
      <c r="B262" s="5" t="s">
        <v>241</v>
      </c>
      <c r="C262" s="27" t="s">
        <v>364</v>
      </c>
      <c r="D262" s="5" t="s">
        <v>364</v>
      </c>
    </row>
    <row r="263" spans="1:4">
      <c r="A263" s="5">
        <v>37</v>
      </c>
      <c r="B263" s="5" t="s">
        <v>241</v>
      </c>
      <c r="C263" s="27" t="s">
        <v>364</v>
      </c>
      <c r="D263" s="5" t="s">
        <v>364</v>
      </c>
    </row>
    <row r="264" spans="1:4">
      <c r="A264" s="5">
        <v>33</v>
      </c>
      <c r="B264" s="5" t="s">
        <v>341</v>
      </c>
      <c r="C264" s="27" t="s">
        <v>364</v>
      </c>
      <c r="D264" s="5" t="s">
        <v>364</v>
      </c>
    </row>
    <row r="265" spans="1:4">
      <c r="A265" s="5">
        <v>18</v>
      </c>
      <c r="B265" s="5" t="s">
        <v>213</v>
      </c>
      <c r="C265" s="27" t="s">
        <v>364</v>
      </c>
      <c r="D265" s="5" t="s">
        <v>364</v>
      </c>
    </row>
    <row r="266" spans="1:4">
      <c r="A266" s="5">
        <v>31</v>
      </c>
      <c r="B266" s="5" t="s">
        <v>168</v>
      </c>
      <c r="C266" s="27" t="s">
        <v>364</v>
      </c>
      <c r="D266" s="5" t="s">
        <v>364</v>
      </c>
    </row>
    <row r="267" spans="1:4">
      <c r="A267" s="5">
        <v>37</v>
      </c>
      <c r="B267" s="5" t="s">
        <v>286</v>
      </c>
      <c r="C267" s="27" t="s">
        <v>364</v>
      </c>
      <c r="D267" s="5" t="s">
        <v>364</v>
      </c>
    </row>
    <row r="268" spans="1:4">
      <c r="A268" s="5">
        <v>25</v>
      </c>
      <c r="B268" s="5" t="s">
        <v>370</v>
      </c>
      <c r="C268" s="27" t="s">
        <v>364</v>
      </c>
      <c r="D268" s="5" t="s">
        <v>364</v>
      </c>
    </row>
    <row r="269" spans="1:4">
      <c r="A269" s="5">
        <v>37</v>
      </c>
      <c r="B269" s="5" t="s">
        <v>331</v>
      </c>
      <c r="C269" s="27" t="s">
        <v>364</v>
      </c>
      <c r="D269" s="5" t="s">
        <v>364</v>
      </c>
    </row>
    <row r="270" spans="1:4">
      <c r="A270" s="5">
        <v>17</v>
      </c>
      <c r="B270" s="5" t="s">
        <v>291</v>
      </c>
      <c r="C270" s="27" t="s">
        <v>364</v>
      </c>
      <c r="D270" s="5" t="s">
        <v>364</v>
      </c>
    </row>
    <row r="271" spans="1:4">
      <c r="A271" s="5">
        <v>20</v>
      </c>
      <c r="B271" s="5" t="s">
        <v>256</v>
      </c>
      <c r="C271" s="27" t="s">
        <v>364</v>
      </c>
      <c r="D271" s="5" t="s">
        <v>364</v>
      </c>
    </row>
    <row r="272" spans="1:4">
      <c r="A272" s="5">
        <v>40</v>
      </c>
      <c r="B272" s="5" t="s">
        <v>246</v>
      </c>
      <c r="C272" s="27" t="s">
        <v>364</v>
      </c>
      <c r="D272" s="5" t="s">
        <v>364</v>
      </c>
    </row>
    <row r="273" spans="1:4">
      <c r="A273" s="5">
        <v>39</v>
      </c>
      <c r="B273" s="5" t="s">
        <v>368</v>
      </c>
      <c r="C273" s="27" t="s">
        <v>364</v>
      </c>
      <c r="D273" s="5" t="s">
        <v>364</v>
      </c>
    </row>
  </sheetData>
  <autoFilter ref="A1:C273" xr:uid="{4FB483E7-A8A6-4154-9581-3CD79921687A}">
    <sortState xmlns:xlrd2="http://schemas.microsoft.com/office/spreadsheetml/2017/richdata2" ref="A2:C273">
      <sortCondition ref="C1:C273"/>
    </sortState>
  </autoFilter>
  <phoneticPr fontId="3" type="noConversion"/>
  <conditionalFormatting sqref="A2:C1000">
    <cfRule type="expression" dxfId="7" priority="1">
      <formula>$C2 = "AI system design"</formula>
    </cfRule>
    <cfRule type="expression" dxfId="6" priority="2">
      <formula>$C2 = "Ethics of AI"</formula>
    </cfRule>
    <cfRule type="expression" dxfId="5" priority="3">
      <formula>$C2 = "Human-centred mindset"</formula>
    </cfRule>
    <cfRule type="expression" dxfId="4" priority="4">
      <formula>$C2 = "AI techniques and applications"</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395Papers</vt:lpstr>
      <vt:lpstr>41Papers</vt:lpstr>
      <vt:lpstr>Framework_elements</vt:lpstr>
      <vt:lpstr>Meta</vt:lpstr>
      <vt:lpstr>ABCE_CRI_KW</vt:lpstr>
      <vt:lpstr>ABCE_Result</vt:lpstr>
      <vt:lpstr>UNESCO_CRI_KW</vt:lpstr>
      <vt:lpstr>UNESCO_Result</vt:lpstr>
      <vt:lpstr>ABCE-UNESCO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윤수 박</dc:creator>
  <cp:lastModifiedBy>윤수 박</cp:lastModifiedBy>
  <dcterms:created xsi:type="dcterms:W3CDTF">2026-02-13T07:58:27Z</dcterms:created>
  <dcterms:modified xsi:type="dcterms:W3CDTF">2026-02-22T02:35:38Z</dcterms:modified>
</cp:coreProperties>
</file>