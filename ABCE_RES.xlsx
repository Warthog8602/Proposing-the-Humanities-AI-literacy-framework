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kspy\Desktop\"/>
    </mc:Choice>
  </mc:AlternateContent>
  <xr:revisionPtr revIDLastSave="0" documentId="8_{1F117E0F-2BB0-4718-BB20-B42DAED14D11}" xr6:coauthVersionLast="47" xr6:coauthVersionMax="47" xr10:uidLastSave="{00000000-0000-0000-0000-000000000000}"/>
  <bookViews>
    <workbookView xWindow="-108" yWindow="-108" windowWidth="23256" windowHeight="12456" xr2:uid="{94F072F0-61A3-480D-8F36-DE49ADD4DA44}"/>
  </bookViews>
  <sheets>
    <sheet name="ABCE_Result" sheetId="1" r:id="rId1"/>
  </sheets>
  <externalReferences>
    <externalReference r:id="rId2"/>
  </externalReferences>
  <definedNames>
    <definedName name="_xlnm._FilterDatabase" localSheetId="0" hidden="1">ABCE_Result!$A$1:$I$273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3" i="1" l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<sst xmlns="http://schemas.openxmlformats.org/spreadsheetml/2006/main" count="553" uniqueCount="261">
  <si>
    <t>RowIndex_in_Sheet2</t>
  </si>
  <si>
    <t>Keyword</t>
  </si>
  <si>
    <t>BestCategory_max</t>
  </si>
  <si>
    <t>BestSim_max</t>
  </si>
  <si>
    <t>Sim_max_Affective</t>
  </si>
  <si>
    <t>Sim_max_Behavioural</t>
  </si>
  <si>
    <t>Sim_max_Cognitive</t>
  </si>
  <si>
    <t>Sim_max_Ethical</t>
  </si>
  <si>
    <t>APA</t>
    <phoneticPr fontId="3" type="noConversion"/>
  </si>
  <si>
    <t>autonomy</t>
  </si>
  <si>
    <t>Affective</t>
  </si>
  <si>
    <t>probability</t>
  </si>
  <si>
    <t>learning to recognize artifacts using ai</t>
  </si>
  <si>
    <t>learning about how ai works</t>
  </si>
  <si>
    <t>learning tools for ai</t>
  </si>
  <si>
    <t>learning for life with ai</t>
  </si>
  <si>
    <t>data and algorithm literacy</t>
  </si>
  <si>
    <t>affective competences</t>
  </si>
  <si>
    <t>selfreflection</t>
  </si>
  <si>
    <t>affective</t>
  </si>
  <si>
    <t>project goals layer</t>
  </si>
  <si>
    <t>generic ai literacy</t>
  </si>
  <si>
    <t>domainspecific ai literacy</t>
  </si>
  <si>
    <t>attitudesvalues</t>
  </si>
  <si>
    <t>learninggenerative ai</t>
  </si>
  <si>
    <t>data literacy</t>
  </si>
  <si>
    <t>action reaction</t>
  </si>
  <si>
    <t>appraise</t>
  </si>
  <si>
    <t>intrinsic motivation</t>
  </si>
  <si>
    <t>selfefficacy</t>
  </si>
  <si>
    <t>affective engagement</t>
  </si>
  <si>
    <t>visualization</t>
  </si>
  <si>
    <t>expansion of ai literacy framework</t>
  </si>
  <si>
    <t>domain</t>
  </si>
  <si>
    <t>learners and their interaction with ai</t>
  </si>
  <si>
    <t>contextualization of ai literacy</t>
  </si>
  <si>
    <t>concerns</t>
  </si>
  <si>
    <t>curiosity</t>
  </si>
  <si>
    <t>creativity</t>
  </si>
  <si>
    <t>ai selfawareness</t>
  </si>
  <si>
    <t>selfmanagement with ai</t>
  </si>
  <si>
    <t>ai contextual understanding ability</t>
  </si>
  <si>
    <t>ai exploratory learning and problemsolving ability</t>
  </si>
  <si>
    <t>user efficacy</t>
  </si>
  <si>
    <t>ai knowledge</t>
  </si>
  <si>
    <t>ai attitudes</t>
  </si>
  <si>
    <t>content</t>
  </si>
  <si>
    <t>collaboration</t>
  </si>
  <si>
    <t>Behavioural</t>
  </si>
  <si>
    <t>training</t>
  </si>
  <si>
    <t>communication and collaboration</t>
  </si>
  <si>
    <t>behavioural</t>
  </si>
  <si>
    <t>learning</t>
  </si>
  <si>
    <t>teaching</t>
  </si>
  <si>
    <t>learningteaching</t>
  </si>
  <si>
    <t>interdisciplinarity</t>
  </si>
  <si>
    <t>programmability</t>
  </si>
  <si>
    <t>situational mapping</t>
  </si>
  <si>
    <t>participate</t>
  </si>
  <si>
    <t>affective learning</t>
  </si>
  <si>
    <t>behavioural learning</t>
  </si>
  <si>
    <t>behavioral intention</t>
  </si>
  <si>
    <t>behavioral engagement</t>
  </si>
  <si>
    <t>behavioral learning</t>
  </si>
  <si>
    <t>inner workings</t>
  </si>
  <si>
    <t>instructors</t>
  </si>
  <si>
    <t>internal support</t>
  </si>
  <si>
    <t>learning outcomes</t>
  </si>
  <si>
    <t>learning activities</t>
  </si>
  <si>
    <t>interact and engage with</t>
  </si>
  <si>
    <t>environment physical</t>
  </si>
  <si>
    <t>people individual context</t>
  </si>
  <si>
    <t>action and reaction</t>
  </si>
  <si>
    <t>content ai interaction</t>
  </si>
  <si>
    <t>knowledge</t>
  </si>
  <si>
    <t>Cognitive</t>
  </si>
  <si>
    <t>evaluation</t>
  </si>
  <si>
    <t>recognize</t>
  </si>
  <si>
    <t>know understand</t>
  </si>
  <si>
    <t>use apply</t>
  </si>
  <si>
    <t>evaluate</t>
  </si>
  <si>
    <t>create</t>
  </si>
  <si>
    <t>introduction to ai</t>
  </si>
  <si>
    <t>ai and the future of work</t>
  </si>
  <si>
    <t>ai careers</t>
  </si>
  <si>
    <t>context</t>
  </si>
  <si>
    <t>usage</t>
  </si>
  <si>
    <t>improving everyday life</t>
  </si>
  <si>
    <t>digital competences</t>
  </si>
  <si>
    <t>knowledge of technical basics</t>
  </si>
  <si>
    <t>ai device and software applicationplatform operations</t>
  </si>
  <si>
    <t>problem solving</t>
  </si>
  <si>
    <t>careerrelated competences</t>
  </si>
  <si>
    <t>ai content creation</t>
  </si>
  <si>
    <t>impact</t>
  </si>
  <si>
    <t>cognitive</t>
  </si>
  <si>
    <t>what is ai</t>
  </si>
  <si>
    <t>what can ai do</t>
  </si>
  <si>
    <t>how does ai work</t>
  </si>
  <si>
    <t>understanding ai as software</t>
  </si>
  <si>
    <t>how should ai be used</t>
  </si>
  <si>
    <t>subjectobject analysis layer</t>
  </si>
  <si>
    <t>project design layer</t>
  </si>
  <si>
    <t>learning tools layer</t>
  </si>
  <si>
    <t>understanding ais nature</t>
  </si>
  <si>
    <t>recognizing ais capabilities</t>
  </si>
  <si>
    <t>understanding the consequences of ai</t>
  </si>
  <si>
    <t>skillsapplication of ai</t>
  </si>
  <si>
    <t>programmability of ai</t>
  </si>
  <si>
    <t>functional view of ai</t>
  </si>
  <si>
    <t>critical view of ai</t>
  </si>
  <si>
    <t>rhetorical view of ai</t>
  </si>
  <si>
    <t>understanding techniques and concepts</t>
  </si>
  <si>
    <t>defining and understanding ai</t>
  </si>
  <si>
    <t>cultural and linguistic diversity</t>
  </si>
  <si>
    <t>existing educational systems and curricula</t>
  </si>
  <si>
    <t>knowledgecognition</t>
  </si>
  <si>
    <t>skillsbehavior</t>
  </si>
  <si>
    <t>generative ai</t>
  </si>
  <si>
    <t>recognizing ai</t>
  </si>
  <si>
    <t>understanding intelligence</t>
  </si>
  <si>
    <t>general vs narrow</t>
  </si>
  <si>
    <t>ais strengths weaknesses</t>
  </si>
  <si>
    <t>imagine future ai</t>
  </si>
  <si>
    <t>representations</t>
  </si>
  <si>
    <t>decisionmaking</t>
  </si>
  <si>
    <t>human role in ai</t>
  </si>
  <si>
    <t>learning from data</t>
  </si>
  <si>
    <t>critically interpreting data</t>
  </si>
  <si>
    <t>sensors</t>
  </si>
  <si>
    <t>people perceive ai</t>
  </si>
  <si>
    <t>disconnecting</t>
  </si>
  <si>
    <t>analyzing through</t>
  </si>
  <si>
    <t>read</t>
  </si>
  <si>
    <t>write</t>
  </si>
  <si>
    <t>communicate</t>
  </si>
  <si>
    <t>motivating ai use</t>
  </si>
  <si>
    <t>describing the problem to solve with ai</t>
  </si>
  <si>
    <t>assessing ai affordances</t>
  </si>
  <si>
    <t>informing ai use with appropriate information</t>
  </si>
  <si>
    <t>shaping ai use</t>
  </si>
  <si>
    <t>cognitive learning</t>
  </si>
  <si>
    <t>know and understand</t>
  </si>
  <si>
    <t>use and apply ai</t>
  </si>
  <si>
    <t>vocabulary</t>
  </si>
  <si>
    <t>jargon</t>
  </si>
  <si>
    <t>concepts</t>
  </si>
  <si>
    <t>stem for sustainability</t>
  </si>
  <si>
    <t>authentic learning</t>
  </si>
  <si>
    <t>acquisition</t>
  </si>
  <si>
    <t>implementation</t>
  </si>
  <si>
    <t>optimization</t>
  </si>
  <si>
    <t>analysis</t>
  </si>
  <si>
    <t>and archiving</t>
  </si>
  <si>
    <t>individual competencies</t>
  </si>
  <si>
    <t>recognize the benefits and limitations of ai tools</t>
  </si>
  <si>
    <t>additional competencies for understanding ai</t>
  </si>
  <si>
    <t>analyse ethical considerations in the development and deployment of ai</t>
  </si>
  <si>
    <t>potential ai use cases</t>
  </si>
  <si>
    <t>implications of using ai in the domain</t>
  </si>
  <si>
    <t>additional learning resources</t>
  </si>
  <si>
    <t>assessment</t>
  </si>
  <si>
    <t>conceptualization of ai</t>
  </si>
  <si>
    <t>applied knowledge</t>
  </si>
  <si>
    <t>ai applications and its interdisciplinarity</t>
  </si>
  <si>
    <t>skills use</t>
  </si>
  <si>
    <t>critically examine ai tools</t>
  </si>
  <si>
    <t>data</t>
  </si>
  <si>
    <t>issues</t>
  </si>
  <si>
    <t>organizational context</t>
  </si>
  <si>
    <t>embodimenttangibility</t>
  </si>
  <si>
    <t>general vs narrow ai</t>
  </si>
  <si>
    <t>ais strengths and weaknesses</t>
  </si>
  <si>
    <t>knowledge representations</t>
  </si>
  <si>
    <t>machine learning steps</t>
  </si>
  <si>
    <t>technological scientific knowledge</t>
  </si>
  <si>
    <t>technical skills</t>
  </si>
  <si>
    <t>capacity building and education</t>
  </si>
  <si>
    <t>continuous evaluation and adaptation</t>
  </si>
  <si>
    <t>continuity</t>
  </si>
  <si>
    <t>transmissional inquiry pathway</t>
  </si>
  <si>
    <t>transactional inquiry pathway</t>
  </si>
  <si>
    <t>personal ai security</t>
  </si>
  <si>
    <t>ai cocreation identity</t>
  </si>
  <si>
    <t>intellectual property in ai</t>
  </si>
  <si>
    <t>ai context creation thinking</t>
  </si>
  <si>
    <t>computational ai thinking</t>
  </si>
  <si>
    <t>ai math logic thinking</t>
  </si>
  <si>
    <t>ai systems thinking</t>
  </si>
  <si>
    <t>ai data analysis and management ability</t>
  </si>
  <si>
    <t>ai communication ability</t>
  </si>
  <si>
    <t>ai features</t>
  </si>
  <si>
    <t>ai processing</t>
  </si>
  <si>
    <t>algorithm influences</t>
  </si>
  <si>
    <t>ai skills</t>
  </si>
  <si>
    <t>ai fundamentals</t>
  </si>
  <si>
    <t>elements of ai technology</t>
  </si>
  <si>
    <t>application of ai technology</t>
  </si>
  <si>
    <t>ai and human</t>
  </si>
  <si>
    <t>ai and society</t>
  </si>
  <si>
    <t>computational thinking</t>
  </si>
  <si>
    <t>skills</t>
  </si>
  <si>
    <t>values</t>
  </si>
  <si>
    <t>ethics</t>
  </si>
  <si>
    <t>Ethical</t>
  </si>
  <si>
    <t>navigate ethically</t>
  </si>
  <si>
    <t>ai and ethics</t>
  </si>
  <si>
    <t>manipulation</t>
  </si>
  <si>
    <t>awareness</t>
  </si>
  <si>
    <t>a critical approach</t>
  </si>
  <si>
    <t>ethical approach</t>
  </si>
  <si>
    <t>completing specific tasks</t>
  </si>
  <si>
    <t>ai ethics</t>
  </si>
  <si>
    <t>technology</t>
  </si>
  <si>
    <t>ethical</t>
  </si>
  <si>
    <t>ethical literacy</t>
  </si>
  <si>
    <t>experiential trust</t>
  </si>
  <si>
    <t>regulatory advocacy</t>
  </si>
  <si>
    <t>framework for critical questioning</t>
  </si>
  <si>
    <t>ai ethics literacy</t>
  </si>
  <si>
    <t>ml steps</t>
  </si>
  <si>
    <t>tracking</t>
  </si>
  <si>
    <t>benefits and risks in situated practice</t>
  </si>
  <si>
    <t>ethical learning</t>
  </si>
  <si>
    <t>prompt engineering</t>
  </si>
  <si>
    <t>specific suggested tools applications</t>
  </si>
  <si>
    <t>ethics appropriacy</t>
  </si>
  <si>
    <t>proactive exploration</t>
  </si>
  <si>
    <t>future prospects</t>
  </si>
  <si>
    <t>scientific citizenship</t>
  </si>
  <si>
    <t>cleansing</t>
  </si>
  <si>
    <t>sharing</t>
  </si>
  <si>
    <t>relational practices</t>
  </si>
  <si>
    <t>ethical implications and decisionmaking</t>
  </si>
  <si>
    <t>legal</t>
  </si>
  <si>
    <t>social aspects</t>
  </si>
  <si>
    <t>environment digital</t>
  </si>
  <si>
    <t>socioethical technical understanding</t>
  </si>
  <si>
    <t>ethical design principles for digital tools</t>
  </si>
  <si>
    <t>participatory governance models</t>
  </si>
  <si>
    <t>accountability and oversight structures</t>
  </si>
  <si>
    <t>criticality</t>
  </si>
  <si>
    <t>transformative inquiry pathway</t>
  </si>
  <si>
    <t>ai safety awareness</t>
  </si>
  <si>
    <t>organizational ai security</t>
  </si>
  <si>
    <t>digital ai citizen identity</t>
  </si>
  <si>
    <t>ai identity management</t>
  </si>
  <si>
    <t>digital ai empathy</t>
  </si>
  <si>
    <t>ai critical thinking</t>
  </si>
  <si>
    <t>ethical consideration</t>
  </si>
  <si>
    <t>threat appraisal</t>
  </si>
  <si>
    <t>engineering design thinking</t>
  </si>
  <si>
    <t>access</t>
  </si>
  <si>
    <t>project rules layer</t>
  </si>
  <si>
    <t>Others</t>
  </si>
  <si>
    <t>resource constraints and infrastructure limitations</t>
  </si>
  <si>
    <t>local economic priorities and workforce needs</t>
  </si>
  <si>
    <t>central zone</t>
  </si>
  <si>
    <t>writing ethnographic vignettes</t>
  </si>
  <si>
    <t>erasing</t>
  </si>
  <si>
    <t>time and chronology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</si>
</sst>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times news romans"/>
    </font>
    <font>
      <sz val="8"/>
      <name val="맑은 고딕"/>
      <family val="2"/>
      <charset val="129"/>
      <scheme val="minor"/>
    </font>
    <font>
      <b/>
      <sz val="10"/>
      <color rgb="FFFF0000"/>
      <name val="times news romans"/>
    </font>
    <font>
      <sz val="10"/>
      <color theme="1"/>
      <name val="times news romans"/>
      <family val="1"/>
    </font>
    <font>
      <sz val="10"/>
      <color rgb="FFFF0000"/>
      <name val="times news roman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/>
    </xf>
  </cellXfs>
  <cellStyles count="2">
    <cellStyle name="표준" xfId="0" builtinId="0"/>
    <cellStyle name="표준 2" xfId="1" xr:uid="{295320AE-A1D9-4F77-ABA4-930A02104DB0}"/>
  </cellStyles>
  <dxfs count="4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kspy\SynologyDrive\&#51060;&#50976;&#48120;&#44368;&#49688;&#45784;\251120_ana\00_Processing.xlsx" TargetMode="External"/><Relationship Id="rId1" Type="http://schemas.openxmlformats.org/officeDocument/2006/relationships/externalLinkPath" Target="/Users/pkspy/SynologyDrive/&#51060;&#50976;&#48120;&#44368;&#49688;&#45784;/251120_ana/00_Process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(LM_YI)ABCE"/>
      <sheetName val="(LM_YI)UNESCO"/>
      <sheetName val="(LM_YI)UNESCO+ABCE"/>
      <sheetName val="(LM_YI)HAIL+ABCE+UNESCO"/>
      <sheetName val="ABCE_Keywords_original"/>
      <sheetName val="ABCE_STD_MEG"/>
      <sheetName val="ABCE_STD"/>
      <sheetName val="ABCE_Result"/>
      <sheetName val="UNESCO_STD"/>
      <sheetName val="UNESCO_Result"/>
      <sheetName val="HAIL_STD"/>
      <sheetName val="HAIL_Result"/>
      <sheetName val="Meta"/>
    </sheetNames>
    <sheetDataSet>
      <sheetData sheetId="0"/>
      <sheetData sheetId="1">
        <row r="2">
          <cell r="H2">
            <v>0</v>
          </cell>
          <cell r="I2" t="str">
            <v>Allen &amp; Kendeou (2024).</v>
          </cell>
        </row>
        <row r="3">
          <cell r="H3">
            <v>1</v>
          </cell>
          <cell r="I3" t="str">
            <v>Almatrafi, et al. (2024).</v>
          </cell>
        </row>
        <row r="4">
          <cell r="H4">
            <v>2</v>
          </cell>
          <cell r="I4" t="str">
            <v>Barber et al. (2024)</v>
          </cell>
        </row>
        <row r="5">
          <cell r="H5">
            <v>3</v>
          </cell>
          <cell r="I5" t="str">
            <v>Brünner et al. (2025)</v>
          </cell>
        </row>
        <row r="6">
          <cell r="H6">
            <v>4</v>
          </cell>
          <cell r="I6" t="str">
            <v>Casal-Otero et al. (2023)</v>
          </cell>
        </row>
        <row r="7">
          <cell r="H7">
            <v>5</v>
          </cell>
          <cell r="I7" t="str">
            <v>Celik(2023)</v>
          </cell>
        </row>
        <row r="8">
          <cell r="H8">
            <v>6</v>
          </cell>
          <cell r="I8" t="str">
            <v>Černý. (2024)</v>
          </cell>
        </row>
        <row r="9">
          <cell r="H9">
            <v>7</v>
          </cell>
          <cell r="I9" t="str">
            <v>Chee et al. (2025)</v>
          </cell>
        </row>
        <row r="10">
          <cell r="H10">
            <v>8</v>
          </cell>
          <cell r="I10" t="str">
            <v>Chiu et al. (2024)</v>
          </cell>
        </row>
        <row r="11">
          <cell r="H11">
            <v>9</v>
          </cell>
          <cell r="I11" t="str">
            <v>Choi(2025)</v>
          </cell>
        </row>
        <row r="12">
          <cell r="H12">
            <v>10</v>
          </cell>
          <cell r="I12" t="str">
            <v>Chung et al. (2025)</v>
          </cell>
        </row>
        <row r="13">
          <cell r="H13">
            <v>11</v>
          </cell>
          <cell r="I13" t="str">
            <v>Yang et al. (2024)</v>
          </cell>
        </row>
        <row r="14">
          <cell r="H14">
            <v>12</v>
          </cell>
          <cell r="I14" t="str">
            <v>Ding et al. (2024)</v>
          </cell>
        </row>
        <row r="15">
          <cell r="H15">
            <v>13</v>
          </cell>
          <cell r="I15" t="str">
            <v>Ferhataj et al. (2025)</v>
          </cell>
        </row>
        <row r="16">
          <cell r="H16">
            <v>14</v>
          </cell>
          <cell r="I16" t="str">
            <v>Gupta et al. (2024)</v>
          </cell>
        </row>
        <row r="17">
          <cell r="H17">
            <v>15</v>
          </cell>
          <cell r="I17" t="str">
            <v>Henry et al. (2021)</v>
          </cell>
        </row>
        <row r="18">
          <cell r="H18">
            <v>16</v>
          </cell>
          <cell r="I18" t="str">
            <v>Kathala et al. (2024)</v>
          </cell>
        </row>
        <row r="19">
          <cell r="H19">
            <v>17</v>
          </cell>
          <cell r="I19" t="str">
            <v>Knoth et al. (2024)</v>
          </cell>
        </row>
        <row r="20">
          <cell r="H20">
            <v>18</v>
          </cell>
          <cell r="I20" t="str">
            <v>Kong &amp; Yang (2024).</v>
          </cell>
        </row>
        <row r="21">
          <cell r="H21">
            <v>19</v>
          </cell>
          <cell r="I21" t="str">
            <v>Long &amp; Magerko (2020)</v>
          </cell>
        </row>
        <row r="22">
          <cell r="H22">
            <v>20</v>
          </cell>
          <cell r="I22" t="str">
            <v>Markham &amp; Pronzato (2024)</v>
          </cell>
        </row>
        <row r="23">
          <cell r="H23">
            <v>21</v>
          </cell>
          <cell r="I23" t="str">
            <v>McCosker(2024)</v>
          </cell>
        </row>
        <row r="24">
          <cell r="H24">
            <v>22</v>
          </cell>
          <cell r="I24" t="str">
            <v>Newman-Griffis(2025)</v>
          </cell>
        </row>
        <row r="25">
          <cell r="H25">
            <v>23</v>
          </cell>
          <cell r="I25" t="str">
            <v>Ng et al. (2024)</v>
          </cell>
        </row>
        <row r="26">
          <cell r="H26">
            <v>24</v>
          </cell>
          <cell r="I26" t="str">
            <v>Ng et al. (2023)</v>
          </cell>
        </row>
        <row r="27">
          <cell r="H27">
            <v>25</v>
          </cell>
          <cell r="I27" t="str">
            <v>Ngo, &amp; Hastie (2025)</v>
          </cell>
        </row>
        <row r="28">
          <cell r="H28">
            <v>26</v>
          </cell>
          <cell r="I28" t="str">
            <v>Okada et al. (2025)</v>
          </cell>
        </row>
        <row r="29">
          <cell r="H29">
            <v>27</v>
          </cell>
          <cell r="I29" t="str">
            <v>Olari &amp; Romeike (2021)</v>
          </cell>
        </row>
        <row r="30">
          <cell r="H30">
            <v>28</v>
          </cell>
          <cell r="I30" t="str">
            <v>Palmquist et al. (2025)</v>
          </cell>
        </row>
        <row r="31">
          <cell r="H31">
            <v>29</v>
          </cell>
          <cell r="I31" t="str">
            <v>Ru &amp; Tang (2025)</v>
          </cell>
        </row>
        <row r="32">
          <cell r="H32">
            <v>30</v>
          </cell>
          <cell r="I32" t="str">
            <v>Schleiss et al. (2023)</v>
          </cell>
        </row>
        <row r="33">
          <cell r="H33">
            <v>31</v>
          </cell>
          <cell r="I33" t="str">
            <v>Shiri(2024)</v>
          </cell>
        </row>
        <row r="34">
          <cell r="H34">
            <v>32</v>
          </cell>
          <cell r="I34" t="str">
            <v>Smith et al. (2025)</v>
          </cell>
        </row>
        <row r="35">
          <cell r="H35">
            <v>33</v>
          </cell>
          <cell r="I35" t="str">
            <v>Stolpe &amp; Hallström (2024)</v>
          </cell>
        </row>
        <row r="36">
          <cell r="H36">
            <v>34</v>
          </cell>
          <cell r="I36" t="str">
            <v>Tauchnitz &amp; Ahmed (2024)</v>
          </cell>
        </row>
        <row r="37">
          <cell r="H37">
            <v>35</v>
          </cell>
          <cell r="I37" t="str">
            <v>Ward et al. (2025)</v>
          </cell>
        </row>
        <row r="38">
          <cell r="H38">
            <v>36</v>
          </cell>
          <cell r="I38" t="str">
            <v>Luo et al. (2024)</v>
          </cell>
        </row>
        <row r="39">
          <cell r="H39">
            <v>37</v>
          </cell>
          <cell r="I39" t="str">
            <v>Yuan et al. (2024)</v>
          </cell>
        </row>
        <row r="40">
          <cell r="H40">
            <v>38</v>
          </cell>
          <cell r="I40" t="str">
            <v>Yue et al. (2025)</v>
          </cell>
        </row>
        <row r="41">
          <cell r="H41">
            <v>39</v>
          </cell>
          <cell r="I41" t="str">
            <v>Zhong &amp; Liu (2025)</v>
          </cell>
        </row>
        <row r="42">
          <cell r="H42">
            <v>40</v>
          </cell>
          <cell r="I42" t="str">
            <v>Zipf et al. (2025)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D9E6-64F3-4BE0-A0C7-B8EE33D092EF}">
  <sheetPr>
    <tabColor rgb="FFFFC000"/>
  </sheetPr>
  <dimension ref="A1:I273"/>
  <sheetViews>
    <sheetView tabSelected="1" workbookViewId="0">
      <selection activeCell="C5" sqref="C5"/>
    </sheetView>
  </sheetViews>
  <sheetFormatPr defaultColWidth="8.59765625" defaultRowHeight="13.2"/>
  <cols>
    <col min="1" max="1" width="8.59765625" style="4"/>
    <col min="2" max="2" width="65.59765625" style="4" bestFit="1" customWidth="1"/>
    <col min="3" max="16384" width="8.59765625" style="4"/>
  </cols>
  <sheetData>
    <row r="1" spans="1:9" ht="39.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>
      <c r="A2" s="5">
        <v>0</v>
      </c>
      <c r="B2" s="5" t="s">
        <v>9</v>
      </c>
      <c r="C2" s="6" t="s">
        <v>10</v>
      </c>
      <c r="D2" s="6">
        <v>0.60716676712036133</v>
      </c>
      <c r="E2" s="5">
        <v>0.60716676712036133</v>
      </c>
      <c r="F2" s="5">
        <v>0.45098567008972168</v>
      </c>
      <c r="G2" s="5">
        <v>0.45916640758514399</v>
      </c>
      <c r="H2" s="5">
        <v>0.56742149591445923</v>
      </c>
      <c r="I2" s="4" t="str">
        <f>VLOOKUP(A2, [1]Sheet2!H$2:I$42, 2, 0)</f>
        <v>Allen &amp; Kendeou (2024).</v>
      </c>
    </row>
    <row r="3" spans="1:9">
      <c r="A3" s="5">
        <v>3</v>
      </c>
      <c r="B3" s="5" t="s">
        <v>11</v>
      </c>
      <c r="C3" s="6" t="s">
        <v>10</v>
      </c>
      <c r="D3" s="6">
        <v>0.47942012548446661</v>
      </c>
      <c r="E3" s="5">
        <v>0.47942012548446661</v>
      </c>
      <c r="F3" s="5">
        <v>0.36195972561836243</v>
      </c>
      <c r="G3" s="5">
        <v>0.44542613625526428</v>
      </c>
      <c r="H3" s="5">
        <v>0.31410902738571173</v>
      </c>
      <c r="I3" s="4" t="str">
        <f>VLOOKUP(A3, [1]Sheet2!H$2:I$42, 2, 0)</f>
        <v>Brünner et al. (2025)</v>
      </c>
    </row>
    <row r="4" spans="1:9">
      <c r="A4" s="5">
        <v>4</v>
      </c>
      <c r="B4" s="5" t="s">
        <v>12</v>
      </c>
      <c r="C4" s="6" t="s">
        <v>10</v>
      </c>
      <c r="D4" s="6">
        <v>0.61729574203491211</v>
      </c>
      <c r="E4" s="5">
        <v>0.61729574203491211</v>
      </c>
      <c r="F4" s="5">
        <v>0.54451298713684082</v>
      </c>
      <c r="G4" s="5">
        <v>0.57317459583282471</v>
      </c>
      <c r="H4" s="5">
        <v>0.35408571362495422</v>
      </c>
      <c r="I4" s="4" t="str">
        <f>VLOOKUP(A4, [1]Sheet2!H$2:I$42, 2, 0)</f>
        <v>Casal-Otero et al. (2023)</v>
      </c>
    </row>
    <row r="5" spans="1:9">
      <c r="A5" s="5">
        <v>4</v>
      </c>
      <c r="B5" s="5" t="s">
        <v>13</v>
      </c>
      <c r="C5" s="6" t="s">
        <v>10</v>
      </c>
      <c r="D5" s="6">
        <v>0.84888291358947754</v>
      </c>
      <c r="E5" s="5">
        <v>0.84888291358947754</v>
      </c>
      <c r="F5" s="5">
        <v>0.66174817085266113</v>
      </c>
      <c r="G5" s="5">
        <v>0.75792092084884644</v>
      </c>
      <c r="H5" s="5">
        <v>0.46610873937606812</v>
      </c>
      <c r="I5" s="4" t="str">
        <f>VLOOKUP(A5, [1]Sheet2!H$2:I$42, 2, 0)</f>
        <v>Casal-Otero et al. (2023)</v>
      </c>
    </row>
    <row r="6" spans="1:9">
      <c r="A6" s="5">
        <v>4</v>
      </c>
      <c r="B6" s="5" t="s">
        <v>14</v>
      </c>
      <c r="C6" s="6" t="s">
        <v>10</v>
      </c>
      <c r="D6" s="6">
        <v>0.82603514194488525</v>
      </c>
      <c r="E6" s="5">
        <v>0.82603514194488525</v>
      </c>
      <c r="F6" s="5">
        <v>0.59542548656463623</v>
      </c>
      <c r="G6" s="5">
        <v>0.75262320041656494</v>
      </c>
      <c r="H6" s="5">
        <v>0.46976619958877558</v>
      </c>
      <c r="I6" s="4" t="str">
        <f>VLOOKUP(A6, [1]Sheet2!H$2:I$42, 2, 0)</f>
        <v>Casal-Otero et al. (2023)</v>
      </c>
    </row>
    <row r="7" spans="1:9">
      <c r="A7" s="5">
        <v>4</v>
      </c>
      <c r="B7" s="5" t="s">
        <v>15</v>
      </c>
      <c r="C7" s="6" t="s">
        <v>10</v>
      </c>
      <c r="D7" s="6">
        <v>0.80094814300537109</v>
      </c>
      <c r="E7" s="5">
        <v>0.80094814300537109</v>
      </c>
      <c r="F7" s="5">
        <v>0.59717082977294922</v>
      </c>
      <c r="G7" s="5">
        <v>0.6293947696685791</v>
      </c>
      <c r="H7" s="5">
        <v>0.33563652634620672</v>
      </c>
      <c r="I7" s="4" t="str">
        <f>VLOOKUP(A7, [1]Sheet2!H$2:I$42, 2, 0)</f>
        <v>Casal-Otero et al. (2023)</v>
      </c>
    </row>
    <row r="8" spans="1:9">
      <c r="A8" s="5">
        <v>7</v>
      </c>
      <c r="B8" s="5" t="s">
        <v>16</v>
      </c>
      <c r="C8" s="6" t="s">
        <v>10</v>
      </c>
      <c r="D8" s="6">
        <v>0.6814274787902832</v>
      </c>
      <c r="E8" s="5">
        <v>0.6814274787902832</v>
      </c>
      <c r="F8" s="5">
        <v>0.42333224415779108</v>
      </c>
      <c r="G8" s="5">
        <v>0.54782438278198242</v>
      </c>
      <c r="H8" s="5">
        <v>0.44302111864089971</v>
      </c>
      <c r="I8" s="4" t="str">
        <f>VLOOKUP(A8, [1]Sheet2!H$2:I$42, 2, 0)</f>
        <v>Chee et al. (2025)</v>
      </c>
    </row>
    <row r="9" spans="1:9">
      <c r="A9" s="5">
        <v>7</v>
      </c>
      <c r="B9" s="5" t="s">
        <v>17</v>
      </c>
      <c r="C9" s="6" t="s">
        <v>10</v>
      </c>
      <c r="D9" s="6">
        <v>0.69511139392852783</v>
      </c>
      <c r="E9" s="5">
        <v>0.69511139392852783</v>
      </c>
      <c r="F9" s="5">
        <v>0.63121724128723145</v>
      </c>
      <c r="G9" s="5">
        <v>0.57192182540893555</v>
      </c>
      <c r="H9" s="5">
        <v>0.61387056112289429</v>
      </c>
      <c r="I9" s="4" t="str">
        <f>VLOOKUP(A9, [1]Sheet2!H$2:I$42, 2, 0)</f>
        <v>Chee et al. (2025)</v>
      </c>
    </row>
    <row r="10" spans="1:9">
      <c r="A10" s="5">
        <v>8</v>
      </c>
      <c r="B10" s="5" t="s">
        <v>18</v>
      </c>
      <c r="C10" s="6" t="s">
        <v>10</v>
      </c>
      <c r="D10" s="6">
        <v>0.70169895887374878</v>
      </c>
      <c r="E10" s="5">
        <v>0.70169895887374878</v>
      </c>
      <c r="F10" s="5">
        <v>0.55207902193069458</v>
      </c>
      <c r="G10" s="5">
        <v>0.51729661226272583</v>
      </c>
      <c r="H10" s="5">
        <v>0.34804666042327881</v>
      </c>
      <c r="I10" s="4" t="str">
        <f>VLOOKUP(A10, [1]Sheet2!H$2:I$42, 2, 0)</f>
        <v>Chiu et al. (2024)</v>
      </c>
    </row>
    <row r="11" spans="1:9">
      <c r="A11" s="5">
        <v>9</v>
      </c>
      <c r="B11" s="5" t="s">
        <v>19</v>
      </c>
      <c r="C11" s="6" t="s">
        <v>10</v>
      </c>
      <c r="D11" s="6">
        <v>1</v>
      </c>
      <c r="E11" s="5">
        <v>1</v>
      </c>
      <c r="F11" s="5">
        <v>0.68103617429733276</v>
      </c>
      <c r="G11" s="5">
        <v>0.5048147439956665</v>
      </c>
      <c r="H11" s="5">
        <v>0.53446561098098755</v>
      </c>
      <c r="I11" s="4" t="str">
        <f>VLOOKUP(A11, [1]Sheet2!H$2:I$42, 2, 0)</f>
        <v>Choi(2025)</v>
      </c>
    </row>
    <row r="12" spans="1:9">
      <c r="A12" s="5">
        <v>11</v>
      </c>
      <c r="B12" s="5" t="s">
        <v>20</v>
      </c>
      <c r="C12" s="6" t="s">
        <v>10</v>
      </c>
      <c r="D12" s="6">
        <v>0.42477113008499151</v>
      </c>
      <c r="E12" s="5">
        <v>0.42477113008499151</v>
      </c>
      <c r="F12" s="5">
        <v>0.34736335277557367</v>
      </c>
      <c r="G12" s="5">
        <v>0.37727516889572138</v>
      </c>
      <c r="H12" s="5">
        <v>0.34336307644844061</v>
      </c>
      <c r="I12" s="4" t="str">
        <f>VLOOKUP(A12, [1]Sheet2!H$2:I$42, 2, 0)</f>
        <v>Yang et al. (2024)</v>
      </c>
    </row>
    <row r="13" spans="1:9">
      <c r="A13" s="5">
        <v>17</v>
      </c>
      <c r="B13" s="5" t="s">
        <v>21</v>
      </c>
      <c r="C13" s="6" t="s">
        <v>10</v>
      </c>
      <c r="D13" s="6">
        <v>0.67091727256774902</v>
      </c>
      <c r="E13" s="5">
        <v>0.67091727256774902</v>
      </c>
      <c r="F13" s="5">
        <v>0.40768846869468689</v>
      </c>
      <c r="G13" s="5">
        <v>0.48054054379463201</v>
      </c>
      <c r="H13" s="5">
        <v>0.42074161767959589</v>
      </c>
      <c r="I13" s="4" t="str">
        <f>VLOOKUP(A13, [1]Sheet2!H$2:I$42, 2, 0)</f>
        <v>Knoth et al. (2024)</v>
      </c>
    </row>
    <row r="14" spans="1:9">
      <c r="A14" s="5">
        <v>17</v>
      </c>
      <c r="B14" s="5" t="s">
        <v>22</v>
      </c>
      <c r="C14" s="6" t="s">
        <v>10</v>
      </c>
      <c r="D14" s="6">
        <v>0.68431520462036133</v>
      </c>
      <c r="E14" s="5">
        <v>0.68431520462036133</v>
      </c>
      <c r="F14" s="5">
        <v>0.45380163192749018</v>
      </c>
      <c r="G14" s="5">
        <v>0.4445456862449646</v>
      </c>
      <c r="H14" s="5">
        <v>0.43282595276832581</v>
      </c>
      <c r="I14" s="4" t="str">
        <f>VLOOKUP(A14, [1]Sheet2!H$2:I$42, 2, 0)</f>
        <v>Knoth et al. (2024)</v>
      </c>
    </row>
    <row r="15" spans="1:9">
      <c r="A15" s="5">
        <v>17</v>
      </c>
      <c r="B15" s="5" t="s">
        <v>23</v>
      </c>
      <c r="C15" s="6" t="s">
        <v>10</v>
      </c>
      <c r="D15" s="6">
        <v>0.877907395362854</v>
      </c>
      <c r="E15" s="5">
        <v>0.877907395362854</v>
      </c>
      <c r="F15" s="5">
        <v>0.635459303855896</v>
      </c>
      <c r="G15" s="5">
        <v>0.54874646663665771</v>
      </c>
      <c r="H15" s="5">
        <v>0.57272893190383911</v>
      </c>
      <c r="I15" s="4" t="str">
        <f>VLOOKUP(A15, [1]Sheet2!H$2:I$42, 2, 0)</f>
        <v>Knoth et al. (2024)</v>
      </c>
    </row>
    <row r="16" spans="1:9">
      <c r="A16" s="5">
        <v>18</v>
      </c>
      <c r="B16" s="5" t="s">
        <v>24</v>
      </c>
      <c r="C16" s="6" t="s">
        <v>10</v>
      </c>
      <c r="D16" s="6">
        <v>0.74910151958465576</v>
      </c>
      <c r="E16" s="5">
        <v>0.74910151958465576</v>
      </c>
      <c r="F16" s="5">
        <v>0.60711491107940674</v>
      </c>
      <c r="G16" s="5">
        <v>0.66273236274719238</v>
      </c>
      <c r="H16" s="5">
        <v>0.37765970826148992</v>
      </c>
      <c r="I16" s="4" t="str">
        <f>VLOOKUP(A16, [1]Sheet2!H$2:I$42, 2, 0)</f>
        <v>Kong &amp; Yang (2024).</v>
      </c>
    </row>
    <row r="17" spans="1:9">
      <c r="A17" s="5">
        <v>19</v>
      </c>
      <c r="B17" s="5" t="s">
        <v>25</v>
      </c>
      <c r="C17" s="6" t="s">
        <v>10</v>
      </c>
      <c r="D17" s="6">
        <v>0.79135078191757202</v>
      </c>
      <c r="E17" s="5">
        <v>0.79135078191757202</v>
      </c>
      <c r="F17" s="5">
        <v>0.39741778373718262</v>
      </c>
      <c r="G17" s="5">
        <v>0.55873322486877441</v>
      </c>
      <c r="H17" s="5">
        <v>0.48549604415893549</v>
      </c>
      <c r="I17" s="4" t="str">
        <f>VLOOKUP(A17, [1]Sheet2!H$2:I$42, 2, 0)</f>
        <v>Long &amp; Magerko (2020)</v>
      </c>
    </row>
    <row r="18" spans="1:9">
      <c r="A18" s="5">
        <v>19</v>
      </c>
      <c r="B18" s="5" t="s">
        <v>26</v>
      </c>
      <c r="C18" s="6" t="s">
        <v>10</v>
      </c>
      <c r="D18" s="6">
        <v>0.49802207946777338</v>
      </c>
      <c r="E18" s="5">
        <v>0.49802207946777338</v>
      </c>
      <c r="F18" s="5">
        <v>0.47255197167396551</v>
      </c>
      <c r="G18" s="5">
        <v>0.40765094757080078</v>
      </c>
      <c r="H18" s="5">
        <v>0.4443213939666748</v>
      </c>
      <c r="I18" s="4" t="str">
        <f>VLOOKUP(A18, [1]Sheet2!H$2:I$42, 2, 0)</f>
        <v>Long &amp; Magerko (2020)</v>
      </c>
    </row>
    <row r="19" spans="1:9">
      <c r="A19" s="5">
        <v>21</v>
      </c>
      <c r="B19" s="5" t="s">
        <v>27</v>
      </c>
      <c r="C19" s="6" t="s">
        <v>10</v>
      </c>
      <c r="D19" s="6">
        <v>0.54241698980331421</v>
      </c>
      <c r="E19" s="5">
        <v>0.54241698980331421</v>
      </c>
      <c r="F19" s="5">
        <v>0.39953446388244629</v>
      </c>
      <c r="G19" s="5">
        <v>0.53409570455551147</v>
      </c>
      <c r="H19" s="5">
        <v>0.48480328917503362</v>
      </c>
      <c r="I19" s="4" t="str">
        <f>VLOOKUP(A19, [1]Sheet2!H$2:I$42, 2, 0)</f>
        <v>McCosker(2024)</v>
      </c>
    </row>
    <row r="20" spans="1:9">
      <c r="A20" s="5">
        <v>24</v>
      </c>
      <c r="B20" s="5" t="s">
        <v>28</v>
      </c>
      <c r="C20" s="6" t="s">
        <v>10</v>
      </c>
      <c r="D20" s="6">
        <v>0.89413213729858398</v>
      </c>
      <c r="E20" s="5">
        <v>0.89413213729858398</v>
      </c>
      <c r="F20" s="5">
        <v>0.57982397079467773</v>
      </c>
      <c r="G20" s="5">
        <v>0.51080024242401123</v>
      </c>
      <c r="H20" s="5">
        <v>0.41952612996101379</v>
      </c>
      <c r="I20" s="4" t="str">
        <f>VLOOKUP(A20, [1]Sheet2!H$2:I$42, 2, 0)</f>
        <v>Ng et al. (2023)</v>
      </c>
    </row>
    <row r="21" spans="1:9">
      <c r="A21" s="5">
        <v>24</v>
      </c>
      <c r="B21" s="5" t="s">
        <v>29</v>
      </c>
      <c r="C21" s="6" t="s">
        <v>10</v>
      </c>
      <c r="D21" s="6">
        <v>0.95928108692169189</v>
      </c>
      <c r="E21" s="5">
        <v>0.95928108692169189</v>
      </c>
      <c r="F21" s="5">
        <v>0.56822812557220459</v>
      </c>
      <c r="G21" s="5">
        <v>0.52426826953887939</v>
      </c>
      <c r="H21" s="5">
        <v>0.50429332256317139</v>
      </c>
      <c r="I21" s="4" t="str">
        <f>VLOOKUP(A21, [1]Sheet2!H$2:I$42, 2, 0)</f>
        <v>Ng et al. (2023)</v>
      </c>
    </row>
    <row r="22" spans="1:9">
      <c r="A22" s="5">
        <v>26</v>
      </c>
      <c r="B22" s="5" t="s">
        <v>30</v>
      </c>
      <c r="C22" s="6" t="s">
        <v>10</v>
      </c>
      <c r="D22" s="6">
        <v>0.84584325551986694</v>
      </c>
      <c r="E22" s="5">
        <v>0.84584325551986694</v>
      </c>
      <c r="F22" s="5">
        <v>0.64021694660186768</v>
      </c>
      <c r="G22" s="5">
        <v>0.47401612997055048</v>
      </c>
      <c r="H22" s="5">
        <v>0.60864341259002686</v>
      </c>
      <c r="I22" s="4" t="str">
        <f>VLOOKUP(A22, [1]Sheet2!H$2:I$42, 2, 0)</f>
        <v>Okada et al. (2025)</v>
      </c>
    </row>
    <row r="23" spans="1:9">
      <c r="A23" s="5">
        <v>27</v>
      </c>
      <c r="B23" s="5" t="s">
        <v>31</v>
      </c>
      <c r="C23" s="6" t="s">
        <v>10</v>
      </c>
      <c r="D23" s="6">
        <v>0.60434967279434204</v>
      </c>
      <c r="E23" s="5">
        <v>0.60434967279434204</v>
      </c>
      <c r="F23" s="5">
        <v>0.40676778554916382</v>
      </c>
      <c r="G23" s="5">
        <v>0.47762846946716309</v>
      </c>
      <c r="H23" s="5">
        <v>0.41530704498291021</v>
      </c>
      <c r="I23" s="4" t="str">
        <f>VLOOKUP(A23, [1]Sheet2!H$2:I$42, 2, 0)</f>
        <v>Olari &amp; Romeike (2021)</v>
      </c>
    </row>
    <row r="24" spans="1:9">
      <c r="A24" s="5">
        <v>28</v>
      </c>
      <c r="B24" s="5" t="s">
        <v>32</v>
      </c>
      <c r="C24" s="6" t="s">
        <v>10</v>
      </c>
      <c r="D24" s="6">
        <v>0.62711870670318604</v>
      </c>
      <c r="E24" s="5">
        <v>0.62711870670318604</v>
      </c>
      <c r="F24" s="5">
        <v>0.55737143754959106</v>
      </c>
      <c r="G24" s="5">
        <v>0.59914052486419678</v>
      </c>
      <c r="H24" s="5">
        <v>0.35011383891105652</v>
      </c>
      <c r="I24" s="4" t="str">
        <f>VLOOKUP(A24, [1]Sheet2!H$2:I$42, 2, 0)</f>
        <v>Palmquist et al. (2025)</v>
      </c>
    </row>
    <row r="25" spans="1:9">
      <c r="A25" s="5">
        <v>30</v>
      </c>
      <c r="B25" s="5" t="s">
        <v>33</v>
      </c>
      <c r="C25" s="6" t="s">
        <v>10</v>
      </c>
      <c r="D25" s="6">
        <v>0.51662945747375488</v>
      </c>
      <c r="E25" s="5">
        <v>0.51662945747375488</v>
      </c>
      <c r="F25" s="5">
        <v>0.44014120101928711</v>
      </c>
      <c r="G25" s="5">
        <v>0.45743459463119512</v>
      </c>
      <c r="H25" s="5">
        <v>0.48663938045501709</v>
      </c>
      <c r="I25" s="4" t="str">
        <f>VLOOKUP(A25, [1]Sheet2!H$2:I$42, 2, 0)</f>
        <v>Schleiss et al. (2023)</v>
      </c>
    </row>
    <row r="26" spans="1:9">
      <c r="A26" s="5">
        <v>30</v>
      </c>
      <c r="B26" s="5" t="s">
        <v>34</v>
      </c>
      <c r="C26" s="6" t="s">
        <v>10</v>
      </c>
      <c r="D26" s="6">
        <v>0.80538499355316162</v>
      </c>
      <c r="E26" s="5">
        <v>0.80538499355316162</v>
      </c>
      <c r="F26" s="5">
        <v>0.59065878391265869</v>
      </c>
      <c r="G26" s="5">
        <v>0.67084348201751709</v>
      </c>
      <c r="H26" s="5">
        <v>0.34607318043708801</v>
      </c>
      <c r="I26" s="4" t="str">
        <f>VLOOKUP(A26, [1]Sheet2!H$2:I$42, 2, 0)</f>
        <v>Schleiss et al. (2023)</v>
      </c>
    </row>
    <row r="27" spans="1:9">
      <c r="A27" s="5">
        <v>31</v>
      </c>
      <c r="B27" s="5" t="s">
        <v>35</v>
      </c>
      <c r="C27" s="6" t="s">
        <v>10</v>
      </c>
      <c r="D27" s="6">
        <v>0.64784920215606689</v>
      </c>
      <c r="E27" s="5">
        <v>0.64784920215606689</v>
      </c>
      <c r="F27" s="5">
        <v>0.52400040626525879</v>
      </c>
      <c r="G27" s="5">
        <v>0.56865769624710083</v>
      </c>
      <c r="H27" s="5">
        <v>0.39512825012207031</v>
      </c>
      <c r="I27" s="4" t="str">
        <f>VLOOKUP(A27, [1]Sheet2!H$2:I$42, 2, 0)</f>
        <v>Shiri(2024)</v>
      </c>
    </row>
    <row r="28" spans="1:9">
      <c r="A28" s="5">
        <v>31</v>
      </c>
      <c r="B28" s="5" t="s">
        <v>36</v>
      </c>
      <c r="C28" s="6" t="s">
        <v>10</v>
      </c>
      <c r="D28" s="6">
        <v>0.64722710847854614</v>
      </c>
      <c r="E28" s="5">
        <v>0.64722710847854614</v>
      </c>
      <c r="F28" s="5">
        <v>0.44563987851142878</v>
      </c>
      <c r="G28" s="5">
        <v>0.54006278514862061</v>
      </c>
      <c r="H28" s="5">
        <v>0.54522830247879028</v>
      </c>
      <c r="I28" s="4" t="str">
        <f>VLOOKUP(A28, [1]Sheet2!H$2:I$42, 2, 0)</f>
        <v>Shiri(2024)</v>
      </c>
    </row>
    <row r="29" spans="1:9">
      <c r="A29" s="5">
        <v>32</v>
      </c>
      <c r="B29" s="5" t="s">
        <v>25</v>
      </c>
      <c r="C29" s="6" t="s">
        <v>10</v>
      </c>
      <c r="D29" s="6">
        <v>0.79135078191757202</v>
      </c>
      <c r="E29" s="5">
        <v>0.79135078191757202</v>
      </c>
      <c r="F29" s="5">
        <v>0.39741778373718262</v>
      </c>
      <c r="G29" s="5">
        <v>0.55873322486877441</v>
      </c>
      <c r="H29" s="5">
        <v>0.48549604415893549</v>
      </c>
      <c r="I29" s="4" t="str">
        <f>VLOOKUP(A29, [1]Sheet2!H$2:I$42, 2, 0)</f>
        <v>Smith et al. (2025)</v>
      </c>
    </row>
    <row r="30" spans="1:9">
      <c r="A30" s="5">
        <v>35</v>
      </c>
      <c r="B30" s="5" t="s">
        <v>37</v>
      </c>
      <c r="C30" s="6" t="s">
        <v>10</v>
      </c>
      <c r="D30" s="6">
        <v>0.70948928594589233</v>
      </c>
      <c r="E30" s="5">
        <v>0.70948928594589233</v>
      </c>
      <c r="F30" s="5">
        <v>0.43768242001533508</v>
      </c>
      <c r="G30" s="5">
        <v>0.68679457902908325</v>
      </c>
      <c r="H30" s="5">
        <v>0.48605573177337652</v>
      </c>
      <c r="I30" s="4" t="str">
        <f>VLOOKUP(A30, [1]Sheet2!H$2:I$42, 2, 0)</f>
        <v>Ward et al. (2025)</v>
      </c>
    </row>
    <row r="31" spans="1:9">
      <c r="A31" s="5">
        <v>35</v>
      </c>
      <c r="B31" s="5" t="s">
        <v>38</v>
      </c>
      <c r="C31" s="6" t="s">
        <v>10</v>
      </c>
      <c r="D31" s="6">
        <v>0.59487205743789673</v>
      </c>
      <c r="E31" s="5">
        <v>0.59487205743789673</v>
      </c>
      <c r="F31" s="5">
        <v>0.47497648000717158</v>
      </c>
      <c r="G31" s="5">
        <v>0.56659674644470215</v>
      </c>
      <c r="H31" s="5">
        <v>0.48668894171714783</v>
      </c>
      <c r="I31" s="4" t="str">
        <f>VLOOKUP(A31, [1]Sheet2!H$2:I$42, 2, 0)</f>
        <v>Ward et al. (2025)</v>
      </c>
    </row>
    <row r="32" spans="1:9">
      <c r="A32" s="5">
        <v>36</v>
      </c>
      <c r="B32" s="5" t="s">
        <v>39</v>
      </c>
      <c r="C32" s="6" t="s">
        <v>10</v>
      </c>
      <c r="D32" s="6">
        <v>0.74844717979431152</v>
      </c>
      <c r="E32" s="5">
        <v>0.74844717979431152</v>
      </c>
      <c r="F32" s="5">
        <v>0.56456887722015381</v>
      </c>
      <c r="G32" s="5">
        <v>0.5393519401550293</v>
      </c>
      <c r="H32" s="5">
        <v>0.4632989764213562</v>
      </c>
      <c r="I32" s="4" t="str">
        <f>VLOOKUP(A32, [1]Sheet2!H$2:I$42, 2, 0)</f>
        <v>Luo et al. (2024)</v>
      </c>
    </row>
    <row r="33" spans="1:9">
      <c r="A33" s="5">
        <v>36</v>
      </c>
      <c r="B33" s="5" t="s">
        <v>40</v>
      </c>
      <c r="C33" s="6" t="s">
        <v>10</v>
      </c>
      <c r="D33" s="6">
        <v>0.68800228834152222</v>
      </c>
      <c r="E33" s="5">
        <v>0.68800228834152222</v>
      </c>
      <c r="F33" s="5">
        <v>0.53377008438110352</v>
      </c>
      <c r="G33" s="5">
        <v>0.53511065244674683</v>
      </c>
      <c r="H33" s="5">
        <v>0.44541817903518682</v>
      </c>
      <c r="I33" s="4" t="str">
        <f>VLOOKUP(A33, [1]Sheet2!H$2:I$42, 2, 0)</f>
        <v>Luo et al. (2024)</v>
      </c>
    </row>
    <row r="34" spans="1:9">
      <c r="A34" s="5">
        <v>36</v>
      </c>
      <c r="B34" s="5" t="s">
        <v>41</v>
      </c>
      <c r="C34" s="6" t="s">
        <v>10</v>
      </c>
      <c r="D34" s="6">
        <v>0.65063005685806274</v>
      </c>
      <c r="E34" s="5">
        <v>0.65063005685806274</v>
      </c>
      <c r="F34" s="5">
        <v>0.58948898315429688</v>
      </c>
      <c r="G34" s="5">
        <v>0.60177171230316162</v>
      </c>
      <c r="H34" s="5">
        <v>0.46873751282691961</v>
      </c>
      <c r="I34" s="4" t="str">
        <f>VLOOKUP(A34, [1]Sheet2!H$2:I$42, 2, 0)</f>
        <v>Luo et al. (2024)</v>
      </c>
    </row>
    <row r="35" spans="1:9">
      <c r="A35" s="5">
        <v>36</v>
      </c>
      <c r="B35" s="5" t="s">
        <v>42</v>
      </c>
      <c r="C35" s="6" t="s">
        <v>10</v>
      </c>
      <c r="D35" s="6">
        <v>0.67766398191452026</v>
      </c>
      <c r="E35" s="5">
        <v>0.67766398191452026</v>
      </c>
      <c r="F35" s="5">
        <v>0.58825147151947021</v>
      </c>
      <c r="G35" s="5">
        <v>0.62159603834152222</v>
      </c>
      <c r="H35" s="5">
        <v>0.40642055869102478</v>
      </c>
      <c r="I35" s="4" t="str">
        <f>VLOOKUP(A35, [1]Sheet2!H$2:I$42, 2, 0)</f>
        <v>Luo et al. (2024)</v>
      </c>
    </row>
    <row r="36" spans="1:9">
      <c r="A36" s="5">
        <v>37</v>
      </c>
      <c r="B36" s="5" t="s">
        <v>43</v>
      </c>
      <c r="C36" s="5" t="s">
        <v>10</v>
      </c>
      <c r="D36" s="5">
        <v>0.80814266204833984</v>
      </c>
      <c r="E36" s="5">
        <v>0.80814266204833984</v>
      </c>
      <c r="F36" s="5">
        <v>0.73911261558532715</v>
      </c>
      <c r="G36" s="5">
        <v>0.48464149236679083</v>
      </c>
      <c r="H36" s="5">
        <v>0.69380903244018555</v>
      </c>
      <c r="I36" s="4" t="str">
        <f>VLOOKUP(A36, [1]Sheet2!H$2:I$42, 2, 0)</f>
        <v>Yuan et al. (2024)</v>
      </c>
    </row>
    <row r="37" spans="1:9">
      <c r="A37" s="5">
        <v>38</v>
      </c>
      <c r="B37" s="5" t="s">
        <v>44</v>
      </c>
      <c r="C37" s="5" t="s">
        <v>10</v>
      </c>
      <c r="D37" s="5">
        <v>0.78916525840759277</v>
      </c>
      <c r="E37" s="5">
        <v>0.78916525840759277</v>
      </c>
      <c r="F37" s="5">
        <v>0.53944790363311768</v>
      </c>
      <c r="G37" s="5">
        <v>0.7506864070892334</v>
      </c>
      <c r="H37" s="5">
        <v>0.51448941230773926</v>
      </c>
      <c r="I37" s="4" t="str">
        <f>VLOOKUP(A37, [1]Sheet2!H$2:I$42, 2, 0)</f>
        <v>Yue et al. (2025)</v>
      </c>
    </row>
    <row r="38" spans="1:9">
      <c r="A38" s="5">
        <v>38</v>
      </c>
      <c r="B38" s="5" t="s">
        <v>45</v>
      </c>
      <c r="C38" s="5" t="s">
        <v>10</v>
      </c>
      <c r="D38" s="5">
        <v>0.85409414768218994</v>
      </c>
      <c r="E38" s="5">
        <v>0.85409414768218994</v>
      </c>
      <c r="F38" s="5">
        <v>0.59059971570968628</v>
      </c>
      <c r="G38" s="5">
        <v>0.65076947212219238</v>
      </c>
      <c r="H38" s="5">
        <v>0.51656806468963623</v>
      </c>
      <c r="I38" s="4" t="str">
        <f>VLOOKUP(A38, [1]Sheet2!H$2:I$42, 2, 0)</f>
        <v>Yue et al. (2025)</v>
      </c>
    </row>
    <row r="39" spans="1:9">
      <c r="A39" s="5">
        <v>40</v>
      </c>
      <c r="B39" s="5" t="s">
        <v>46</v>
      </c>
      <c r="C39" s="5" t="s">
        <v>10</v>
      </c>
      <c r="D39" s="5">
        <v>0.5810081958770752</v>
      </c>
      <c r="E39" s="5">
        <v>0.5810081958770752</v>
      </c>
      <c r="F39" s="5">
        <v>0.4390099048614502</v>
      </c>
      <c r="G39" s="5">
        <v>0.55057352781295776</v>
      </c>
      <c r="H39" s="5">
        <v>0.4772551953792572</v>
      </c>
      <c r="I39" s="4" t="str">
        <f>VLOOKUP(A39, [1]Sheet2!H$2:I$42, 2, 0)</f>
        <v>Zipf et al. (2025)</v>
      </c>
    </row>
    <row r="40" spans="1:9">
      <c r="A40" s="5">
        <v>0</v>
      </c>
      <c r="B40" s="5" t="s">
        <v>47</v>
      </c>
      <c r="C40" s="5" t="s">
        <v>48</v>
      </c>
      <c r="D40" s="5">
        <v>0.94312310218811035</v>
      </c>
      <c r="E40" s="5">
        <v>0.49075594544410711</v>
      </c>
      <c r="F40" s="5">
        <v>0.94312310218811035</v>
      </c>
      <c r="G40" s="5">
        <v>0.54824233055114746</v>
      </c>
      <c r="H40" s="5">
        <v>0.53273648023605347</v>
      </c>
      <c r="I40" s="4" t="str">
        <f>VLOOKUP(A40, [1]Sheet2!H$2:I$42, 2, 0)</f>
        <v>Allen &amp; Kendeou (2024).</v>
      </c>
    </row>
    <row r="41" spans="1:9">
      <c r="A41" s="5">
        <v>3</v>
      </c>
      <c r="B41" s="5" t="s">
        <v>49</v>
      </c>
      <c r="C41" s="5" t="s">
        <v>48</v>
      </c>
      <c r="D41" s="5">
        <v>0.63614833354949951</v>
      </c>
      <c r="E41" s="5">
        <v>0.58995848894119263</v>
      </c>
      <c r="F41" s="5">
        <v>0.63614833354949951</v>
      </c>
      <c r="G41" s="5">
        <v>0.55247259140014648</v>
      </c>
      <c r="H41" s="5">
        <v>0.60326606035232544</v>
      </c>
      <c r="I41" s="4" t="str">
        <f>VLOOKUP(A41, [1]Sheet2!H$2:I$42, 2, 0)</f>
        <v>Brünner et al. (2025)</v>
      </c>
    </row>
    <row r="42" spans="1:9">
      <c r="A42" s="5">
        <v>7</v>
      </c>
      <c r="B42" s="5" t="s">
        <v>50</v>
      </c>
      <c r="C42" s="5" t="s">
        <v>48</v>
      </c>
      <c r="D42" s="5">
        <v>0.86881089210510254</v>
      </c>
      <c r="E42" s="5">
        <v>0.41684699058532709</v>
      </c>
      <c r="F42" s="5">
        <v>0.86881089210510254</v>
      </c>
      <c r="G42" s="5">
        <v>0.78821069002151489</v>
      </c>
      <c r="H42" s="5">
        <v>0.50257861614227295</v>
      </c>
      <c r="I42" s="4" t="str">
        <f>VLOOKUP(A42, [1]Sheet2!H$2:I$42, 2, 0)</f>
        <v>Chee et al. (2025)</v>
      </c>
    </row>
    <row r="43" spans="1:9">
      <c r="A43" s="5">
        <v>8</v>
      </c>
      <c r="B43" s="5" t="s">
        <v>47</v>
      </c>
      <c r="C43" s="5" t="s">
        <v>48</v>
      </c>
      <c r="D43" s="5">
        <v>0.94312310218811035</v>
      </c>
      <c r="E43" s="5">
        <v>0.49075594544410711</v>
      </c>
      <c r="F43" s="5">
        <v>0.94312310218811035</v>
      </c>
      <c r="G43" s="5">
        <v>0.54824233055114746</v>
      </c>
      <c r="H43" s="5">
        <v>0.53273648023605347</v>
      </c>
      <c r="I43" s="4" t="str">
        <f>VLOOKUP(A43, [1]Sheet2!H$2:I$42, 2, 0)</f>
        <v>Chiu et al. (2024)</v>
      </c>
    </row>
    <row r="44" spans="1:9">
      <c r="A44" s="5">
        <v>9</v>
      </c>
      <c r="B44" s="5" t="s">
        <v>51</v>
      </c>
      <c r="C44" s="5" t="s">
        <v>48</v>
      </c>
      <c r="D44" s="5">
        <v>1</v>
      </c>
      <c r="E44" s="5">
        <v>0.68103599548339844</v>
      </c>
      <c r="F44" s="5">
        <v>1</v>
      </c>
      <c r="G44" s="5">
        <v>0.54773461818695068</v>
      </c>
      <c r="H44" s="5">
        <v>0.55277431011199951</v>
      </c>
      <c r="I44" s="4" t="str">
        <f>VLOOKUP(A44, [1]Sheet2!H$2:I$42, 2, 0)</f>
        <v>Choi(2025)</v>
      </c>
    </row>
    <row r="45" spans="1:9">
      <c r="A45" s="5">
        <v>18</v>
      </c>
      <c r="B45" s="5" t="s">
        <v>52</v>
      </c>
      <c r="C45" s="5" t="s">
        <v>48</v>
      </c>
      <c r="D45" s="5">
        <v>0.81132692098617554</v>
      </c>
      <c r="E45" s="5">
        <v>0.7111973762512207</v>
      </c>
      <c r="F45" s="5">
        <v>0.81132692098617554</v>
      </c>
      <c r="G45" s="5">
        <v>0.7395176887512207</v>
      </c>
      <c r="H45" s="5">
        <v>0.52343297004699707</v>
      </c>
      <c r="I45" s="4" t="str">
        <f>VLOOKUP(A45, [1]Sheet2!H$2:I$42, 2, 0)</f>
        <v>Kong &amp; Yang (2024).</v>
      </c>
    </row>
    <row r="46" spans="1:9">
      <c r="A46" s="5">
        <v>18</v>
      </c>
      <c r="B46" s="5" t="s">
        <v>53</v>
      </c>
      <c r="C46" s="5" t="s">
        <v>48</v>
      </c>
      <c r="D46" s="5">
        <v>0.60422712564468384</v>
      </c>
      <c r="E46" s="5">
        <v>0.52922821044921875</v>
      </c>
      <c r="F46" s="5">
        <v>0.60422712564468384</v>
      </c>
      <c r="G46" s="5">
        <v>0.5363050103187561</v>
      </c>
      <c r="H46" s="5">
        <v>0.46857410669326782</v>
      </c>
      <c r="I46" s="4" t="str">
        <f>VLOOKUP(A46, [1]Sheet2!H$2:I$42, 2, 0)</f>
        <v>Kong &amp; Yang (2024).</v>
      </c>
    </row>
    <row r="47" spans="1:9">
      <c r="A47" s="5">
        <v>18</v>
      </c>
      <c r="B47" s="5" t="s">
        <v>54</v>
      </c>
      <c r="C47" s="5" t="s">
        <v>48</v>
      </c>
      <c r="D47" s="5">
        <v>0.76783454418182373</v>
      </c>
      <c r="E47" s="5">
        <v>0.57385313510894775</v>
      </c>
      <c r="F47" s="5">
        <v>0.76783454418182373</v>
      </c>
      <c r="G47" s="5">
        <v>0.6829679012298584</v>
      </c>
      <c r="H47" s="5">
        <v>0.40984216332435608</v>
      </c>
      <c r="I47" s="4" t="str">
        <f>VLOOKUP(A47, [1]Sheet2!H$2:I$42, 2, 0)</f>
        <v>Kong &amp; Yang (2024).</v>
      </c>
    </row>
    <row r="48" spans="1:9">
      <c r="A48" s="5">
        <v>19</v>
      </c>
      <c r="B48" s="5" t="s">
        <v>55</v>
      </c>
      <c r="C48" s="5" t="s">
        <v>48</v>
      </c>
      <c r="D48" s="5">
        <v>0.60010957717895508</v>
      </c>
      <c r="E48" s="5">
        <v>0.54247951507568359</v>
      </c>
      <c r="F48" s="5">
        <v>0.60010957717895508</v>
      </c>
      <c r="G48" s="5">
        <v>0.54117041826248169</v>
      </c>
      <c r="H48" s="5">
        <v>0.50597596168518066</v>
      </c>
      <c r="I48" s="4" t="str">
        <f>VLOOKUP(A48, [1]Sheet2!H$2:I$42, 2, 0)</f>
        <v>Long &amp; Magerko (2020)</v>
      </c>
    </row>
    <row r="49" spans="1:9">
      <c r="A49" s="5">
        <v>19</v>
      </c>
      <c r="B49" s="5" t="s">
        <v>56</v>
      </c>
      <c r="C49" s="5" t="s">
        <v>48</v>
      </c>
      <c r="D49" s="5">
        <v>0.50429844856262207</v>
      </c>
      <c r="E49" s="5">
        <v>0.50312185287475586</v>
      </c>
      <c r="F49" s="5">
        <v>0.50429844856262207</v>
      </c>
      <c r="G49" s="5">
        <v>0.47582277655601501</v>
      </c>
      <c r="H49" s="5">
        <v>0.44804126024246221</v>
      </c>
      <c r="I49" s="4" t="str">
        <f>VLOOKUP(A49, [1]Sheet2!H$2:I$42, 2, 0)</f>
        <v>Long &amp; Magerko (2020)</v>
      </c>
    </row>
    <row r="50" spans="1:9">
      <c r="A50" s="5">
        <v>20</v>
      </c>
      <c r="B50" s="5" t="s">
        <v>57</v>
      </c>
      <c r="C50" s="5" t="s">
        <v>48</v>
      </c>
      <c r="D50" s="5">
        <v>0.51281815767288208</v>
      </c>
      <c r="E50" s="5">
        <v>0.40519386529922491</v>
      </c>
      <c r="F50" s="5">
        <v>0.51281815767288208</v>
      </c>
      <c r="G50" s="5">
        <v>0.49921035766601563</v>
      </c>
      <c r="H50" s="5">
        <v>0.37249115109443659</v>
      </c>
      <c r="I50" s="4" t="str">
        <f>VLOOKUP(A50, [1]Sheet2!H$2:I$42, 2, 0)</f>
        <v>Markham &amp; Pronzato (2024)</v>
      </c>
    </row>
    <row r="51" spans="1:9">
      <c r="A51" s="5">
        <v>21</v>
      </c>
      <c r="B51" s="5" t="s">
        <v>58</v>
      </c>
      <c r="C51" s="5" t="s">
        <v>48</v>
      </c>
      <c r="D51" s="5">
        <v>0.68782305717468262</v>
      </c>
      <c r="E51" s="5">
        <v>0.62816768884658813</v>
      </c>
      <c r="F51" s="5">
        <v>0.68782305717468262</v>
      </c>
      <c r="G51" s="5">
        <v>0.63919204473495483</v>
      </c>
      <c r="H51" s="5">
        <v>0.54803633689880371</v>
      </c>
      <c r="I51" s="4" t="str">
        <f>VLOOKUP(A51, [1]Sheet2!H$2:I$42, 2, 0)</f>
        <v>McCosker(2024)</v>
      </c>
    </row>
    <row r="52" spans="1:9">
      <c r="A52" s="5">
        <v>23</v>
      </c>
      <c r="B52" s="5" t="s">
        <v>59</v>
      </c>
      <c r="C52" s="5" t="s">
        <v>48</v>
      </c>
      <c r="D52" s="5">
        <v>0.7908402681350708</v>
      </c>
      <c r="E52" s="5">
        <v>0.7843279242515564</v>
      </c>
      <c r="F52" s="5">
        <v>0.7908402681350708</v>
      </c>
      <c r="G52" s="5">
        <v>0.50628453493118286</v>
      </c>
      <c r="H52" s="5">
        <v>0.38092732429504389</v>
      </c>
      <c r="I52" s="4" t="str">
        <f>VLOOKUP(A52, [1]Sheet2!H$2:I$42, 2, 0)</f>
        <v>Ng et al. (2024)</v>
      </c>
    </row>
    <row r="53" spans="1:9">
      <c r="A53" s="5">
        <v>23</v>
      </c>
      <c r="B53" s="5" t="s">
        <v>60</v>
      </c>
      <c r="C53" s="5" t="s">
        <v>48</v>
      </c>
      <c r="D53" s="5">
        <v>0.89538753032684326</v>
      </c>
      <c r="E53" s="5">
        <v>0.5091400146484375</v>
      </c>
      <c r="F53" s="5">
        <v>0.89538753032684326</v>
      </c>
      <c r="G53" s="5">
        <v>0.55309963226318359</v>
      </c>
      <c r="H53" s="5">
        <v>0.43053942918777471</v>
      </c>
      <c r="I53" s="4" t="str">
        <f>VLOOKUP(A53, [1]Sheet2!H$2:I$42, 2, 0)</f>
        <v>Ng et al. (2024)</v>
      </c>
    </row>
    <row r="54" spans="1:9">
      <c r="A54" s="5">
        <v>24</v>
      </c>
      <c r="B54" s="5" t="s">
        <v>61</v>
      </c>
      <c r="C54" s="5" t="s">
        <v>48</v>
      </c>
      <c r="D54" s="5">
        <v>0.92830681800842285</v>
      </c>
      <c r="E54" s="5">
        <v>0.69225978851318359</v>
      </c>
      <c r="F54" s="5">
        <v>0.92830681800842285</v>
      </c>
      <c r="G54" s="5">
        <v>0.58029270172119141</v>
      </c>
      <c r="H54" s="5">
        <v>0.53690159320831299</v>
      </c>
      <c r="I54" s="4" t="str">
        <f>VLOOKUP(A54, [1]Sheet2!H$2:I$42, 2, 0)</f>
        <v>Ng et al. (2023)</v>
      </c>
    </row>
    <row r="55" spans="1:9">
      <c r="A55" s="5">
        <v>24</v>
      </c>
      <c r="B55" s="5" t="s">
        <v>62</v>
      </c>
      <c r="C55" s="5" t="s">
        <v>48</v>
      </c>
      <c r="D55" s="5">
        <v>0.74672591686248779</v>
      </c>
      <c r="E55" s="5">
        <v>0.68311047554016113</v>
      </c>
      <c r="F55" s="5">
        <v>0.74672591686248779</v>
      </c>
      <c r="G55" s="5">
        <v>0.51801472902297974</v>
      </c>
      <c r="H55" s="5">
        <v>0.52533251047134399</v>
      </c>
      <c r="I55" s="4" t="str">
        <f>VLOOKUP(A55, [1]Sheet2!H$2:I$42, 2, 0)</f>
        <v>Ng et al. (2023)</v>
      </c>
    </row>
    <row r="56" spans="1:9">
      <c r="A56" s="5">
        <v>24</v>
      </c>
      <c r="B56" s="5" t="s">
        <v>59</v>
      </c>
      <c r="C56" s="5" t="s">
        <v>48</v>
      </c>
      <c r="D56" s="5">
        <v>0.7908402681350708</v>
      </c>
      <c r="E56" s="5">
        <v>0.7843279242515564</v>
      </c>
      <c r="F56" s="5">
        <v>0.7908402681350708</v>
      </c>
      <c r="G56" s="5">
        <v>0.50628453493118286</v>
      </c>
      <c r="H56" s="5">
        <v>0.38092732429504389</v>
      </c>
      <c r="I56" s="4" t="str">
        <f>VLOOKUP(A56, [1]Sheet2!H$2:I$42, 2, 0)</f>
        <v>Ng et al. (2023)</v>
      </c>
    </row>
    <row r="57" spans="1:9">
      <c r="A57" s="5">
        <v>24</v>
      </c>
      <c r="B57" s="5" t="s">
        <v>63</v>
      </c>
      <c r="C57" s="5" t="s">
        <v>48</v>
      </c>
      <c r="D57" s="5">
        <v>0.85057896375656128</v>
      </c>
      <c r="E57" s="5">
        <v>0.52532947063446045</v>
      </c>
      <c r="F57" s="5">
        <v>0.85057896375656128</v>
      </c>
      <c r="G57" s="5">
        <v>0.59598445892333984</v>
      </c>
      <c r="H57" s="5">
        <v>0.45491576194763178</v>
      </c>
      <c r="I57" s="4" t="str">
        <f>VLOOKUP(A57, [1]Sheet2!H$2:I$42, 2, 0)</f>
        <v>Ng et al. (2023)</v>
      </c>
    </row>
    <row r="58" spans="1:9">
      <c r="A58" s="5">
        <v>25</v>
      </c>
      <c r="B58" s="5" t="s">
        <v>64</v>
      </c>
      <c r="C58" s="5" t="s">
        <v>48</v>
      </c>
      <c r="D58" s="5">
        <v>0.58331131935119629</v>
      </c>
      <c r="E58" s="5">
        <v>0.43969202041625982</v>
      </c>
      <c r="F58" s="5">
        <v>0.58331131935119629</v>
      </c>
      <c r="G58" s="5">
        <v>0.55359804630279541</v>
      </c>
      <c r="H58" s="5">
        <v>0.51228022575378418</v>
      </c>
      <c r="I58" s="4" t="str">
        <f>VLOOKUP(A58, [1]Sheet2!H$2:I$42, 2, 0)</f>
        <v>Ngo, &amp; Hastie (2025)</v>
      </c>
    </row>
    <row r="59" spans="1:9">
      <c r="A59" s="5">
        <v>30</v>
      </c>
      <c r="B59" s="5" t="s">
        <v>65</v>
      </c>
      <c r="C59" s="5" t="s">
        <v>48</v>
      </c>
      <c r="D59" s="5">
        <v>0.55102819204330444</v>
      </c>
      <c r="E59" s="5">
        <v>0.53819358348846436</v>
      </c>
      <c r="F59" s="5">
        <v>0.55102819204330444</v>
      </c>
      <c r="G59" s="5">
        <v>0.49648979306221008</v>
      </c>
      <c r="H59" s="5">
        <v>0.50192403793334961</v>
      </c>
      <c r="I59" s="4" t="str">
        <f>VLOOKUP(A59, [1]Sheet2!H$2:I$42, 2, 0)</f>
        <v>Schleiss et al. (2023)</v>
      </c>
    </row>
    <row r="60" spans="1:9">
      <c r="A60" s="5">
        <v>30</v>
      </c>
      <c r="B60" s="5" t="s">
        <v>66</v>
      </c>
      <c r="C60" s="5" t="s">
        <v>48</v>
      </c>
      <c r="D60" s="5">
        <v>0.49370235204696661</v>
      </c>
      <c r="E60" s="5">
        <v>0.43334633111953741</v>
      </c>
      <c r="F60" s="5">
        <v>0.49370235204696661</v>
      </c>
      <c r="G60" s="5">
        <v>0.41548612713813782</v>
      </c>
      <c r="H60" s="5">
        <v>0.41852301359176641</v>
      </c>
      <c r="I60" s="4" t="str">
        <f>VLOOKUP(A60, [1]Sheet2!H$2:I$42, 2, 0)</f>
        <v>Schleiss et al. (2023)</v>
      </c>
    </row>
    <row r="61" spans="1:9">
      <c r="A61" s="5">
        <v>30</v>
      </c>
      <c r="B61" s="5" t="s">
        <v>67</v>
      </c>
      <c r="C61" s="5" t="s">
        <v>48</v>
      </c>
      <c r="D61" s="5">
        <v>0.77850258350372314</v>
      </c>
      <c r="E61" s="5">
        <v>0.52525222301483154</v>
      </c>
      <c r="F61" s="5">
        <v>0.77850258350372314</v>
      </c>
      <c r="G61" s="5">
        <v>0.61305117607116699</v>
      </c>
      <c r="H61" s="5">
        <v>0.42498725652694702</v>
      </c>
      <c r="I61" s="4" t="str">
        <f>VLOOKUP(A61, [1]Sheet2!H$2:I$42, 2, 0)</f>
        <v>Schleiss et al. (2023)</v>
      </c>
    </row>
    <row r="62" spans="1:9">
      <c r="A62" s="5">
        <v>30</v>
      </c>
      <c r="B62" s="5" t="s">
        <v>68</v>
      </c>
      <c r="C62" s="5" t="s">
        <v>48</v>
      </c>
      <c r="D62" s="5">
        <v>0.80013191699981689</v>
      </c>
      <c r="E62" s="5">
        <v>0.59084933996200562</v>
      </c>
      <c r="F62" s="5">
        <v>0.80013191699981689</v>
      </c>
      <c r="G62" s="5">
        <v>0.61782419681549072</v>
      </c>
      <c r="H62" s="5">
        <v>0.55225753784179688</v>
      </c>
      <c r="I62" s="4" t="str">
        <f>VLOOKUP(A62, [1]Sheet2!H$2:I$42, 2, 0)</f>
        <v>Schleiss et al. (2023)</v>
      </c>
    </row>
    <row r="63" spans="1:9">
      <c r="A63" s="5">
        <v>31</v>
      </c>
      <c r="B63" s="5" t="s">
        <v>69</v>
      </c>
      <c r="C63" s="5" t="s">
        <v>48</v>
      </c>
      <c r="D63" s="5">
        <v>0.76899945735931396</v>
      </c>
      <c r="E63" s="5">
        <v>0.50932669639587402</v>
      </c>
      <c r="F63" s="5">
        <v>0.76899945735931396</v>
      </c>
      <c r="G63" s="5">
        <v>0.58194214105606079</v>
      </c>
      <c r="H63" s="5">
        <v>0.53566247224807739</v>
      </c>
      <c r="I63" s="4" t="str">
        <f>VLOOKUP(A63, [1]Sheet2!H$2:I$42, 2, 0)</f>
        <v>Shiri(2024)</v>
      </c>
    </row>
    <row r="64" spans="1:9">
      <c r="A64" s="5">
        <v>31</v>
      </c>
      <c r="B64" s="5" t="s">
        <v>70</v>
      </c>
      <c r="C64" s="5" t="s">
        <v>48</v>
      </c>
      <c r="D64" s="5">
        <v>0.53876698017120361</v>
      </c>
      <c r="E64" s="5">
        <v>0.38844975829124451</v>
      </c>
      <c r="F64" s="5">
        <v>0.53876698017120361</v>
      </c>
      <c r="G64" s="5">
        <v>0.50223380327224731</v>
      </c>
      <c r="H64" s="5">
        <v>0.37103116512298578</v>
      </c>
      <c r="I64" s="4" t="str">
        <f>VLOOKUP(A64, [1]Sheet2!H$2:I$42, 2, 0)</f>
        <v>Shiri(2024)</v>
      </c>
    </row>
    <row r="65" spans="1:9">
      <c r="A65" s="5">
        <v>31</v>
      </c>
      <c r="B65" s="5" t="s">
        <v>71</v>
      </c>
      <c r="C65" s="5" t="s">
        <v>48</v>
      </c>
      <c r="D65" s="5">
        <v>0.55256801843643188</v>
      </c>
      <c r="E65" s="5">
        <v>0.5317915678024292</v>
      </c>
      <c r="F65" s="5">
        <v>0.55256801843643188</v>
      </c>
      <c r="G65" s="5">
        <v>0.49032831192016602</v>
      </c>
      <c r="H65" s="5">
        <v>0.47971636056900019</v>
      </c>
      <c r="I65" s="4" t="str">
        <f>VLOOKUP(A65, [1]Sheet2!H$2:I$42, 2, 0)</f>
        <v>Shiri(2024)</v>
      </c>
    </row>
    <row r="66" spans="1:9">
      <c r="A66" s="5">
        <v>32</v>
      </c>
      <c r="B66" s="5" t="s">
        <v>55</v>
      </c>
      <c r="C66" s="5" t="s">
        <v>48</v>
      </c>
      <c r="D66" s="5">
        <v>0.60010957717895508</v>
      </c>
      <c r="E66" s="5">
        <v>0.54247951507568359</v>
      </c>
      <c r="F66" s="5">
        <v>0.60010957717895508</v>
      </c>
      <c r="G66" s="5">
        <v>0.54117041826248169</v>
      </c>
      <c r="H66" s="5">
        <v>0.50597596168518066</v>
      </c>
      <c r="I66" s="4" t="str">
        <f>VLOOKUP(A66, [1]Sheet2!H$2:I$42, 2, 0)</f>
        <v>Smith et al. (2025)</v>
      </c>
    </row>
    <row r="67" spans="1:9">
      <c r="A67" s="5">
        <v>32</v>
      </c>
      <c r="B67" s="5" t="s">
        <v>72</v>
      </c>
      <c r="C67" s="5" t="s">
        <v>48</v>
      </c>
      <c r="D67" s="5">
        <v>0.55235922336578369</v>
      </c>
      <c r="E67" s="5">
        <v>0.53574371337890625</v>
      </c>
      <c r="F67" s="5">
        <v>0.55235922336578369</v>
      </c>
      <c r="G67" s="5">
        <v>0.51150697469711304</v>
      </c>
      <c r="H67" s="5">
        <v>0.46311885118484503</v>
      </c>
      <c r="I67" s="4" t="str">
        <f>VLOOKUP(A67, [1]Sheet2!H$2:I$42, 2, 0)</f>
        <v>Smith et al. (2025)</v>
      </c>
    </row>
    <row r="68" spans="1:9">
      <c r="A68" s="5">
        <v>32</v>
      </c>
      <c r="B68" s="5" t="s">
        <v>56</v>
      </c>
      <c r="C68" s="5" t="s">
        <v>48</v>
      </c>
      <c r="D68" s="5">
        <v>0.50429844856262207</v>
      </c>
      <c r="E68" s="5">
        <v>0.50312185287475586</v>
      </c>
      <c r="F68" s="5">
        <v>0.50429844856262207</v>
      </c>
      <c r="G68" s="5">
        <v>0.47582277655601501</v>
      </c>
      <c r="H68" s="5">
        <v>0.44804126024246221</v>
      </c>
      <c r="I68" s="4" t="str">
        <f>VLOOKUP(A68, [1]Sheet2!H$2:I$42, 2, 0)</f>
        <v>Smith et al. (2025)</v>
      </c>
    </row>
    <row r="69" spans="1:9">
      <c r="A69" s="5">
        <v>36</v>
      </c>
      <c r="B69" s="5" t="s">
        <v>73</v>
      </c>
      <c r="C69" s="5" t="s">
        <v>48</v>
      </c>
      <c r="D69" s="5">
        <v>0.68492388725280762</v>
      </c>
      <c r="E69" s="5">
        <v>0.613433837890625</v>
      </c>
      <c r="F69" s="5">
        <v>0.68492388725280762</v>
      </c>
      <c r="G69" s="5">
        <v>0.62522953748703003</v>
      </c>
      <c r="H69" s="5">
        <v>0.58570539951324463</v>
      </c>
      <c r="I69" s="4" t="str">
        <f>VLOOKUP(A69, [1]Sheet2!H$2:I$42, 2, 0)</f>
        <v>Luo et al. (2024)</v>
      </c>
    </row>
    <row r="70" spans="1:9">
      <c r="A70" s="5">
        <v>0</v>
      </c>
      <c r="B70" s="5" t="s">
        <v>74</v>
      </c>
      <c r="C70" s="5" t="s">
        <v>75</v>
      </c>
      <c r="D70" s="5">
        <v>0.8446306586265564</v>
      </c>
      <c r="E70" s="5">
        <v>0.61147302389144897</v>
      </c>
      <c r="F70" s="5">
        <v>0.54792875051498413</v>
      </c>
      <c r="G70" s="5">
        <v>0.8446306586265564</v>
      </c>
      <c r="H70" s="5">
        <v>0.55266213417053223</v>
      </c>
      <c r="I70" s="4" t="str">
        <f>VLOOKUP(A70, [1]Sheet2!H$2:I$42, 2, 0)</f>
        <v>Allen &amp; Kendeou (2024).</v>
      </c>
    </row>
    <row r="71" spans="1:9">
      <c r="A71" s="5">
        <v>0</v>
      </c>
      <c r="B71" s="5" t="s">
        <v>76</v>
      </c>
      <c r="C71" s="5" t="s">
        <v>75</v>
      </c>
      <c r="D71" s="5">
        <v>0.91089379787445068</v>
      </c>
      <c r="E71" s="5">
        <v>0.6040416955947876</v>
      </c>
      <c r="F71" s="5">
        <v>0.50312161445617676</v>
      </c>
      <c r="G71" s="5">
        <v>0.91089379787445068</v>
      </c>
      <c r="H71" s="5">
        <v>0.63145393133163452</v>
      </c>
      <c r="I71" s="4" t="str">
        <f>VLOOKUP(A71, [1]Sheet2!H$2:I$42, 2, 0)</f>
        <v>Allen &amp; Kendeou (2024).</v>
      </c>
    </row>
    <row r="72" spans="1:9">
      <c r="A72" s="5">
        <v>1</v>
      </c>
      <c r="B72" s="5" t="s">
        <v>77</v>
      </c>
      <c r="C72" s="5" t="s">
        <v>75</v>
      </c>
      <c r="D72" s="5">
        <v>0.74018430709838867</v>
      </c>
      <c r="E72" s="5">
        <v>0.56896466016769409</v>
      </c>
      <c r="F72" s="5">
        <v>0.45426633954048162</v>
      </c>
      <c r="G72" s="5">
        <v>0.74018430709838867</v>
      </c>
      <c r="H72" s="5">
        <v>0.51067054271697998</v>
      </c>
      <c r="I72" s="4" t="str">
        <f>VLOOKUP(A72, [1]Sheet2!H$2:I$42, 2, 0)</f>
        <v>Almatrafi, et al. (2024).</v>
      </c>
    </row>
    <row r="73" spans="1:9">
      <c r="A73" s="5">
        <v>1</v>
      </c>
      <c r="B73" s="5" t="s">
        <v>78</v>
      </c>
      <c r="C73" s="5" t="s">
        <v>75</v>
      </c>
      <c r="D73" s="5">
        <v>0.84635043144226074</v>
      </c>
      <c r="E73" s="5">
        <v>0.54840010404586792</v>
      </c>
      <c r="F73" s="5">
        <v>0.51123982667922974</v>
      </c>
      <c r="G73" s="5">
        <v>0.84635043144226074</v>
      </c>
      <c r="H73" s="5">
        <v>0.47978284955024719</v>
      </c>
      <c r="I73" s="4" t="str">
        <f>VLOOKUP(A73, [1]Sheet2!H$2:I$42, 2, 0)</f>
        <v>Almatrafi, et al. (2024).</v>
      </c>
    </row>
    <row r="74" spans="1:9">
      <c r="A74" s="5">
        <v>1</v>
      </c>
      <c r="B74" s="5" t="s">
        <v>79</v>
      </c>
      <c r="C74" s="5" t="s">
        <v>75</v>
      </c>
      <c r="D74" s="5">
        <v>0.76186013221740723</v>
      </c>
      <c r="E74" s="5">
        <v>0.49517354369163508</v>
      </c>
      <c r="F74" s="5">
        <v>0.51227521896362305</v>
      </c>
      <c r="G74" s="5">
        <v>0.76186013221740723</v>
      </c>
      <c r="H74" s="5">
        <v>0.52618902921676636</v>
      </c>
      <c r="I74" s="4" t="str">
        <f>VLOOKUP(A74, [1]Sheet2!H$2:I$42, 2, 0)</f>
        <v>Almatrafi, et al. (2024).</v>
      </c>
    </row>
    <row r="75" spans="1:9">
      <c r="A75" s="5">
        <v>1</v>
      </c>
      <c r="B75" s="5" t="s">
        <v>80</v>
      </c>
      <c r="C75" s="5" t="s">
        <v>75</v>
      </c>
      <c r="D75" s="5">
        <v>1</v>
      </c>
      <c r="E75" s="5">
        <v>0.5413622260093689</v>
      </c>
      <c r="F75" s="5">
        <v>0.48122948408126831</v>
      </c>
      <c r="G75" s="5">
        <v>1</v>
      </c>
      <c r="H75" s="5">
        <v>0.62747430801391602</v>
      </c>
      <c r="I75" s="4" t="str">
        <f>VLOOKUP(A75, [1]Sheet2!H$2:I$42, 2, 0)</f>
        <v>Almatrafi, et al. (2024).</v>
      </c>
    </row>
    <row r="76" spans="1:9">
      <c r="A76" s="5">
        <v>1</v>
      </c>
      <c r="B76" s="5" t="s">
        <v>81</v>
      </c>
      <c r="C76" s="5" t="s">
        <v>75</v>
      </c>
      <c r="D76" s="5">
        <v>0.99999994039535522</v>
      </c>
      <c r="E76" s="5">
        <v>0.40985909104347229</v>
      </c>
      <c r="F76" s="5">
        <v>0.4897773265838623</v>
      </c>
      <c r="G76" s="5">
        <v>0.99999994039535522</v>
      </c>
      <c r="H76" s="5">
        <v>0.47565141320228582</v>
      </c>
      <c r="I76" s="4" t="str">
        <f>VLOOKUP(A76, [1]Sheet2!H$2:I$42, 2, 0)</f>
        <v>Almatrafi, et al. (2024).</v>
      </c>
    </row>
    <row r="77" spans="1:9">
      <c r="A77" s="5">
        <v>2</v>
      </c>
      <c r="B77" s="5" t="s">
        <v>82</v>
      </c>
      <c r="C77" s="5" t="s">
        <v>75</v>
      </c>
      <c r="D77" s="5">
        <v>0.87043887376785278</v>
      </c>
      <c r="E77" s="5">
        <v>0.76623702049255371</v>
      </c>
      <c r="F77" s="5">
        <v>0.76073843240737915</v>
      </c>
      <c r="G77" s="5">
        <v>0.87043887376785278</v>
      </c>
      <c r="H77" s="5">
        <v>0.42655616998672491</v>
      </c>
      <c r="I77" s="4" t="str">
        <f>VLOOKUP(A77, [1]Sheet2!H$2:I$42, 2, 0)</f>
        <v>Barber et al. (2024)</v>
      </c>
    </row>
    <row r="78" spans="1:9">
      <c r="A78" s="5">
        <v>2</v>
      </c>
      <c r="B78" s="5" t="s">
        <v>83</v>
      </c>
      <c r="C78" s="5" t="s">
        <v>75</v>
      </c>
      <c r="D78" s="5">
        <v>0.64047014713287354</v>
      </c>
      <c r="E78" s="5">
        <v>0.5751039981842041</v>
      </c>
      <c r="F78" s="5">
        <v>0.59499609470367432</v>
      </c>
      <c r="G78" s="5">
        <v>0.64047014713287354</v>
      </c>
      <c r="H78" s="5">
        <v>0.43772685527801508</v>
      </c>
      <c r="I78" s="4" t="str">
        <f>VLOOKUP(A78, [1]Sheet2!H$2:I$42, 2, 0)</f>
        <v>Barber et al. (2024)</v>
      </c>
    </row>
    <row r="79" spans="1:9">
      <c r="A79" s="5">
        <v>2</v>
      </c>
      <c r="B79" s="5" t="s">
        <v>84</v>
      </c>
      <c r="C79" s="5" t="s">
        <v>75</v>
      </c>
      <c r="D79" s="5">
        <v>0.6233246922492981</v>
      </c>
      <c r="E79" s="5">
        <v>0.55662155151367188</v>
      </c>
      <c r="F79" s="5">
        <v>0.44981622695922852</v>
      </c>
      <c r="G79" s="5">
        <v>0.6233246922492981</v>
      </c>
      <c r="H79" s="5">
        <v>0.57457506656646729</v>
      </c>
      <c r="I79" s="4" t="str">
        <f>VLOOKUP(A79, [1]Sheet2!H$2:I$42, 2, 0)</f>
        <v>Barber et al. (2024)</v>
      </c>
    </row>
    <row r="80" spans="1:9">
      <c r="A80" s="5">
        <v>3</v>
      </c>
      <c r="B80" s="5" t="s">
        <v>85</v>
      </c>
      <c r="C80" s="5" t="s">
        <v>75</v>
      </c>
      <c r="D80" s="5">
        <v>0.68128973245620728</v>
      </c>
      <c r="E80" s="5">
        <v>0.53090882301330566</v>
      </c>
      <c r="F80" s="5">
        <v>0.4869881272315979</v>
      </c>
      <c r="G80" s="5">
        <v>0.68128973245620728</v>
      </c>
      <c r="H80" s="5">
        <v>0.45501434803009028</v>
      </c>
      <c r="I80" s="4" t="str">
        <f>VLOOKUP(A80, [1]Sheet2!H$2:I$42, 2, 0)</f>
        <v>Brünner et al. (2025)</v>
      </c>
    </row>
    <row r="81" spans="1:9">
      <c r="A81" s="5">
        <v>5</v>
      </c>
      <c r="B81" s="5" t="s">
        <v>86</v>
      </c>
      <c r="C81" s="5" t="s">
        <v>75</v>
      </c>
      <c r="D81" s="5">
        <v>0.61347275972366333</v>
      </c>
      <c r="E81" s="5">
        <v>0.57987582683563232</v>
      </c>
      <c r="F81" s="5">
        <v>0.56531822681427002</v>
      </c>
      <c r="G81" s="5">
        <v>0.61347275972366333</v>
      </c>
      <c r="H81" s="5">
        <v>0.60392403602600098</v>
      </c>
      <c r="I81" s="4" t="str">
        <f>VLOOKUP(A81, [1]Sheet2!H$2:I$42, 2, 0)</f>
        <v>Celik(2023)</v>
      </c>
    </row>
    <row r="82" spans="1:9">
      <c r="A82" s="5">
        <v>5</v>
      </c>
      <c r="B82" s="5" t="s">
        <v>76</v>
      </c>
      <c r="C82" s="5" t="s">
        <v>75</v>
      </c>
      <c r="D82" s="5">
        <v>0.91089379787445068</v>
      </c>
      <c r="E82" s="5">
        <v>0.6040416955947876</v>
      </c>
      <c r="F82" s="5">
        <v>0.50312161445617676</v>
      </c>
      <c r="G82" s="5">
        <v>0.91089379787445068</v>
      </c>
      <c r="H82" s="5">
        <v>0.63145393133163452</v>
      </c>
      <c r="I82" s="4" t="str">
        <f>VLOOKUP(A82, [1]Sheet2!H$2:I$42, 2, 0)</f>
        <v>Celik(2023)</v>
      </c>
    </row>
    <row r="83" spans="1:9">
      <c r="A83" s="5">
        <v>6</v>
      </c>
      <c r="B83" s="5" t="s">
        <v>87</v>
      </c>
      <c r="C83" s="5" t="s">
        <v>75</v>
      </c>
      <c r="D83" s="5">
        <v>0.45396164059638983</v>
      </c>
      <c r="E83" s="5">
        <v>0.40905898809432978</v>
      </c>
      <c r="F83" s="5">
        <v>0.43537017703056341</v>
      </c>
      <c r="G83" s="5">
        <v>0.45396164059638983</v>
      </c>
      <c r="H83" s="5">
        <v>0.3693196177482605</v>
      </c>
      <c r="I83" s="4" t="str">
        <f>VLOOKUP(A83, [1]Sheet2!H$2:I$42, 2, 0)</f>
        <v>Černý. (2024)</v>
      </c>
    </row>
    <row r="84" spans="1:9">
      <c r="A84" s="5">
        <v>6</v>
      </c>
      <c r="B84" s="5" t="s">
        <v>88</v>
      </c>
      <c r="C84" s="5" t="s">
        <v>75</v>
      </c>
      <c r="D84" s="5">
        <v>0.75802165269851685</v>
      </c>
      <c r="E84" s="5">
        <v>0.6563490629196167</v>
      </c>
      <c r="F84" s="5">
        <v>0.54154288768768311</v>
      </c>
      <c r="G84" s="5">
        <v>0.75802165269851685</v>
      </c>
      <c r="H84" s="5">
        <v>0.73256665468215942</v>
      </c>
      <c r="I84" s="4" t="str">
        <f>VLOOKUP(A84, [1]Sheet2!H$2:I$42, 2, 0)</f>
        <v>Černý. (2024)</v>
      </c>
    </row>
    <row r="85" spans="1:9">
      <c r="A85" s="5">
        <v>6</v>
      </c>
      <c r="B85" s="5" t="s">
        <v>89</v>
      </c>
      <c r="C85" s="5" t="s">
        <v>75</v>
      </c>
      <c r="D85" s="5">
        <v>0.7187390923500061</v>
      </c>
      <c r="E85" s="5">
        <v>0.4981224536895752</v>
      </c>
      <c r="F85" s="5">
        <v>0.44153565168380737</v>
      </c>
      <c r="G85" s="5">
        <v>0.7187390923500061</v>
      </c>
      <c r="H85" s="5">
        <v>0.57891958951950073</v>
      </c>
      <c r="I85" s="4" t="str">
        <f>VLOOKUP(A85, [1]Sheet2!H$2:I$42, 2, 0)</f>
        <v>Černý. (2024)</v>
      </c>
    </row>
    <row r="86" spans="1:9">
      <c r="A86" s="5">
        <v>7</v>
      </c>
      <c r="B86" s="5" t="s">
        <v>90</v>
      </c>
      <c r="C86" s="5" t="s">
        <v>75</v>
      </c>
      <c r="D86" s="5">
        <v>0.67833638191223145</v>
      </c>
      <c r="E86" s="5">
        <v>0.53767514228820801</v>
      </c>
      <c r="F86" s="5">
        <v>0.65845561027526855</v>
      </c>
      <c r="G86" s="5">
        <v>0.67833638191223145</v>
      </c>
      <c r="H86" s="5">
        <v>0.36882159113883972</v>
      </c>
      <c r="I86" s="4" t="str">
        <f>VLOOKUP(A86, [1]Sheet2!H$2:I$42, 2, 0)</f>
        <v>Chee et al. (2025)</v>
      </c>
    </row>
    <row r="87" spans="1:9">
      <c r="A87" s="5">
        <v>7</v>
      </c>
      <c r="B87" s="5" t="s">
        <v>91</v>
      </c>
      <c r="C87" s="5" t="s">
        <v>75</v>
      </c>
      <c r="D87" s="5">
        <v>0.87238198518753052</v>
      </c>
      <c r="E87" s="5">
        <v>0.34671944379806519</v>
      </c>
      <c r="F87" s="5">
        <v>0.43438100814819341</v>
      </c>
      <c r="G87" s="5">
        <v>0.87238198518753052</v>
      </c>
      <c r="H87" s="5">
        <v>0.49229341745376592</v>
      </c>
      <c r="I87" s="4" t="str">
        <f>VLOOKUP(A87, [1]Sheet2!H$2:I$42, 2, 0)</f>
        <v>Chee et al. (2025)</v>
      </c>
    </row>
    <row r="88" spans="1:9">
      <c r="A88" s="5">
        <v>7</v>
      </c>
      <c r="B88" s="5" t="s">
        <v>92</v>
      </c>
      <c r="C88" s="5" t="s">
        <v>75</v>
      </c>
      <c r="D88" s="5">
        <v>0.64964574575424194</v>
      </c>
      <c r="E88" s="5">
        <v>0.54162472486495972</v>
      </c>
      <c r="F88" s="5">
        <v>0.45204341411590582</v>
      </c>
      <c r="G88" s="5">
        <v>0.64964574575424194</v>
      </c>
      <c r="H88" s="5">
        <v>0.56484228372573853</v>
      </c>
      <c r="I88" s="4" t="str">
        <f>VLOOKUP(A88, [1]Sheet2!H$2:I$42, 2, 0)</f>
        <v>Chee et al. (2025)</v>
      </c>
    </row>
    <row r="89" spans="1:9">
      <c r="A89" s="5">
        <v>7</v>
      </c>
      <c r="B89" s="5" t="s">
        <v>93</v>
      </c>
      <c r="C89" s="5" t="s">
        <v>75</v>
      </c>
      <c r="D89" s="5">
        <v>0.72725087404251099</v>
      </c>
      <c r="E89" s="5">
        <v>0.53325879573822021</v>
      </c>
      <c r="F89" s="5">
        <v>0.58693718910217285</v>
      </c>
      <c r="G89" s="5">
        <v>0.72725087404251099</v>
      </c>
      <c r="H89" s="5">
        <v>0.41679680347442633</v>
      </c>
      <c r="I89" s="4" t="str">
        <f>VLOOKUP(A89, [1]Sheet2!H$2:I$42, 2, 0)</f>
        <v>Chee et al. (2025)</v>
      </c>
    </row>
    <row r="90" spans="1:9">
      <c r="A90" s="5">
        <v>8</v>
      </c>
      <c r="B90" s="5" t="s">
        <v>94</v>
      </c>
      <c r="C90" s="5" t="s">
        <v>75</v>
      </c>
      <c r="D90" s="5">
        <v>0.62466931343078613</v>
      </c>
      <c r="E90" s="5">
        <v>0.61627364158630371</v>
      </c>
      <c r="F90" s="5">
        <v>0.44267120957374573</v>
      </c>
      <c r="G90" s="5">
        <v>0.62466931343078613</v>
      </c>
      <c r="H90" s="5">
        <v>0.43586674332618708</v>
      </c>
      <c r="I90" s="4" t="str">
        <f>VLOOKUP(A90, [1]Sheet2!H$2:I$42, 2, 0)</f>
        <v>Chiu et al. (2024)</v>
      </c>
    </row>
    <row r="91" spans="1:9">
      <c r="A91" s="5">
        <v>9</v>
      </c>
      <c r="B91" s="5" t="s">
        <v>95</v>
      </c>
      <c r="C91" s="5" t="s">
        <v>75</v>
      </c>
      <c r="D91" s="5">
        <v>0.99999994039535522</v>
      </c>
      <c r="E91" s="5">
        <v>0.61308956146240234</v>
      </c>
      <c r="F91" s="5">
        <v>0.86199456453323364</v>
      </c>
      <c r="G91" s="5">
        <v>0.99999994039535522</v>
      </c>
      <c r="H91" s="5">
        <v>0.56089860200881958</v>
      </c>
      <c r="I91" s="4" t="str">
        <f>VLOOKUP(A91, [1]Sheet2!H$2:I$42, 2, 0)</f>
        <v>Choi(2025)</v>
      </c>
    </row>
    <row r="92" spans="1:9">
      <c r="A92" s="5">
        <v>10</v>
      </c>
      <c r="B92" s="5" t="s">
        <v>96</v>
      </c>
      <c r="C92" s="5" t="s">
        <v>75</v>
      </c>
      <c r="D92" s="5">
        <v>0.78792238235473633</v>
      </c>
      <c r="E92" s="5">
        <v>0.67785078287124634</v>
      </c>
      <c r="F92" s="5">
        <v>0.71284979581832886</v>
      </c>
      <c r="G92" s="5">
        <v>0.78792238235473633</v>
      </c>
      <c r="H92" s="5">
        <v>0.28228119015693659</v>
      </c>
      <c r="I92" s="4" t="str">
        <f>VLOOKUP(A92, [1]Sheet2!H$2:I$42, 2, 0)</f>
        <v>Chung et al. (2025)</v>
      </c>
    </row>
    <row r="93" spans="1:9">
      <c r="A93" s="5">
        <v>10</v>
      </c>
      <c r="B93" s="5" t="s">
        <v>97</v>
      </c>
      <c r="C93" s="5" t="s">
        <v>75</v>
      </c>
      <c r="D93" s="5">
        <v>0.74686932563781738</v>
      </c>
      <c r="E93" s="5">
        <v>0.67609381675720215</v>
      </c>
      <c r="F93" s="5">
        <v>0.62681186199188232</v>
      </c>
      <c r="G93" s="5">
        <v>0.74686932563781738</v>
      </c>
      <c r="H93" s="5">
        <v>0.41472923755645752</v>
      </c>
      <c r="I93" s="4" t="str">
        <f>VLOOKUP(A93, [1]Sheet2!H$2:I$42, 2, 0)</f>
        <v>Chung et al. (2025)</v>
      </c>
    </row>
    <row r="94" spans="1:9">
      <c r="A94" s="5">
        <v>10</v>
      </c>
      <c r="B94" s="5" t="s">
        <v>98</v>
      </c>
      <c r="C94" s="5" t="s">
        <v>75</v>
      </c>
      <c r="D94" s="5">
        <v>0.78055047988891602</v>
      </c>
      <c r="E94" s="5">
        <v>0.65920078754425049</v>
      </c>
      <c r="F94" s="5">
        <v>0.71596288681030273</v>
      </c>
      <c r="G94" s="5">
        <v>0.78055047988891602</v>
      </c>
      <c r="H94" s="5">
        <v>0.38829630613327032</v>
      </c>
      <c r="I94" s="4" t="str">
        <f>VLOOKUP(A94, [1]Sheet2!H$2:I$42, 2, 0)</f>
        <v>Chung et al. (2025)</v>
      </c>
    </row>
    <row r="95" spans="1:9">
      <c r="A95" s="5">
        <v>10</v>
      </c>
      <c r="B95" s="5" t="s">
        <v>99</v>
      </c>
      <c r="C95" s="5" t="s">
        <v>75</v>
      </c>
      <c r="D95" s="5">
        <v>0.73858708143234253</v>
      </c>
      <c r="E95" s="5">
        <v>0.68022942543029785</v>
      </c>
      <c r="F95" s="5">
        <v>0.67228585481643677</v>
      </c>
      <c r="G95" s="5">
        <v>0.73858708143234253</v>
      </c>
      <c r="H95" s="5">
        <v>0.41721045970916748</v>
      </c>
      <c r="I95" s="4" t="str">
        <f>VLOOKUP(A95, [1]Sheet2!H$2:I$42, 2, 0)</f>
        <v>Chung et al. (2025)</v>
      </c>
    </row>
    <row r="96" spans="1:9">
      <c r="A96" s="5">
        <v>10</v>
      </c>
      <c r="B96" s="5" t="s">
        <v>100</v>
      </c>
      <c r="C96" s="5" t="s">
        <v>75</v>
      </c>
      <c r="D96" s="5">
        <v>0.80795907974243164</v>
      </c>
      <c r="E96" s="5">
        <v>0.6222231388092041</v>
      </c>
      <c r="F96" s="5">
        <v>0.65381765365600586</v>
      </c>
      <c r="G96" s="5">
        <v>0.80795907974243164</v>
      </c>
      <c r="H96" s="5">
        <v>0.44154942035675049</v>
      </c>
      <c r="I96" s="4" t="str">
        <f>VLOOKUP(A96, [1]Sheet2!H$2:I$42, 2, 0)</f>
        <v>Chung et al. (2025)</v>
      </c>
    </row>
    <row r="97" spans="1:9">
      <c r="A97" s="5">
        <v>11</v>
      </c>
      <c r="B97" s="5" t="s">
        <v>101</v>
      </c>
      <c r="C97" s="5" t="s">
        <v>75</v>
      </c>
      <c r="D97" s="5">
        <v>0.5268559455871582</v>
      </c>
      <c r="E97" s="5">
        <v>0.38466334342956537</v>
      </c>
      <c r="F97" s="5">
        <v>0.42476224899291992</v>
      </c>
      <c r="G97" s="5">
        <v>0.5268559455871582</v>
      </c>
      <c r="H97" s="5">
        <v>0.38174226880073547</v>
      </c>
      <c r="I97" s="4" t="str">
        <f>VLOOKUP(A97, [1]Sheet2!H$2:I$42, 2, 0)</f>
        <v>Yang et al. (2024)</v>
      </c>
    </row>
    <row r="98" spans="1:9">
      <c r="A98" s="5">
        <v>11</v>
      </c>
      <c r="B98" s="5" t="s">
        <v>102</v>
      </c>
      <c r="C98" s="5" t="s">
        <v>75</v>
      </c>
      <c r="D98" s="5">
        <v>0.46369963884353638</v>
      </c>
      <c r="E98" s="5">
        <v>0.23676556348800659</v>
      </c>
      <c r="F98" s="5">
        <v>0.38813233375549322</v>
      </c>
      <c r="G98" s="5">
        <v>0.46369963884353638</v>
      </c>
      <c r="H98" s="5">
        <v>0.43973308801651001</v>
      </c>
      <c r="I98" s="4" t="str">
        <f>VLOOKUP(A98, [1]Sheet2!H$2:I$42, 2, 0)</f>
        <v>Yang et al. (2024)</v>
      </c>
    </row>
    <row r="99" spans="1:9">
      <c r="A99" s="5">
        <v>11</v>
      </c>
      <c r="B99" s="5" t="s">
        <v>103</v>
      </c>
      <c r="C99" s="5" t="s">
        <v>75</v>
      </c>
      <c r="D99" s="5">
        <v>0.64206433296203613</v>
      </c>
      <c r="E99" s="5">
        <v>0.49433231353759771</v>
      </c>
      <c r="F99" s="5">
        <v>0.62298762798309326</v>
      </c>
      <c r="G99" s="5">
        <v>0.64206433296203613</v>
      </c>
      <c r="H99" s="5">
        <v>0.42592450976371771</v>
      </c>
      <c r="I99" s="4" t="str">
        <f>VLOOKUP(A99, [1]Sheet2!H$2:I$42, 2, 0)</f>
        <v>Yang et al. (2024)</v>
      </c>
    </row>
    <row r="100" spans="1:9">
      <c r="A100" s="5">
        <v>12</v>
      </c>
      <c r="B100" s="5" t="s">
        <v>104</v>
      </c>
      <c r="C100" s="5" t="s">
        <v>75</v>
      </c>
      <c r="D100" s="5">
        <v>0.65524184703826904</v>
      </c>
      <c r="E100" s="5">
        <v>0.62052476406097412</v>
      </c>
      <c r="F100" s="5">
        <v>0.54722064733505249</v>
      </c>
      <c r="G100" s="5">
        <v>0.65524184703826904</v>
      </c>
      <c r="H100" s="5">
        <v>0.51639217138290405</v>
      </c>
      <c r="I100" s="4" t="str">
        <f>VLOOKUP(A100, [1]Sheet2!H$2:I$42, 2, 0)</f>
        <v>Ding et al. (2024)</v>
      </c>
    </row>
    <row r="101" spans="1:9">
      <c r="A101" s="5">
        <v>12</v>
      </c>
      <c r="B101" s="5" t="s">
        <v>105</v>
      </c>
      <c r="C101" s="5" t="s">
        <v>75</v>
      </c>
      <c r="D101" s="5">
        <v>0.63787335157394409</v>
      </c>
      <c r="E101" s="5">
        <v>0.62696266174316406</v>
      </c>
      <c r="F101" s="5">
        <v>0.53869879245758057</v>
      </c>
      <c r="G101" s="5">
        <v>0.63787335157394409</v>
      </c>
      <c r="H101" s="5">
        <v>0.4156154990196228</v>
      </c>
      <c r="I101" s="4" t="str">
        <f>VLOOKUP(A101, [1]Sheet2!H$2:I$42, 2, 0)</f>
        <v>Ding et al. (2024)</v>
      </c>
    </row>
    <row r="102" spans="1:9">
      <c r="A102" s="5">
        <v>12</v>
      </c>
      <c r="B102" s="5" t="s">
        <v>106</v>
      </c>
      <c r="C102" s="5" t="s">
        <v>75</v>
      </c>
      <c r="D102" s="5">
        <v>0.70872211456298828</v>
      </c>
      <c r="E102" s="5">
        <v>0.60704302787780762</v>
      </c>
      <c r="F102" s="5">
        <v>0.61193162202835083</v>
      </c>
      <c r="G102" s="5">
        <v>0.70872211456298828</v>
      </c>
      <c r="H102" s="5">
        <v>0.37778890132904053</v>
      </c>
      <c r="I102" s="4" t="str">
        <f>VLOOKUP(A102, [1]Sheet2!H$2:I$42, 2, 0)</f>
        <v>Ding et al. (2024)</v>
      </c>
    </row>
    <row r="103" spans="1:9">
      <c r="A103" s="5">
        <v>12</v>
      </c>
      <c r="B103" s="5" t="s">
        <v>107</v>
      </c>
      <c r="C103" s="5" t="s">
        <v>75</v>
      </c>
      <c r="D103" s="5">
        <v>0.70282888412475586</v>
      </c>
      <c r="E103" s="5">
        <v>0.69914460182189941</v>
      </c>
      <c r="F103" s="5">
        <v>0.55484545230865479</v>
      </c>
      <c r="G103" s="5">
        <v>0.70282888412475586</v>
      </c>
      <c r="H103" s="5">
        <v>0.48674741387367249</v>
      </c>
      <c r="I103" s="4" t="str">
        <f>VLOOKUP(A103, [1]Sheet2!H$2:I$42, 2, 0)</f>
        <v>Ding et al. (2024)</v>
      </c>
    </row>
    <row r="104" spans="1:9">
      <c r="A104" s="5">
        <v>12</v>
      </c>
      <c r="B104" s="5" t="s">
        <v>108</v>
      </c>
      <c r="C104" s="5" t="s">
        <v>75</v>
      </c>
      <c r="D104" s="5">
        <v>0.73971766233444214</v>
      </c>
      <c r="E104" s="5">
        <v>0.62700492143630981</v>
      </c>
      <c r="F104" s="5">
        <v>0.68403935432434082</v>
      </c>
      <c r="G104" s="5">
        <v>0.73971766233444214</v>
      </c>
      <c r="H104" s="5">
        <v>0.32130065560340881</v>
      </c>
      <c r="I104" s="4" t="str">
        <f>VLOOKUP(A104, [1]Sheet2!H$2:I$42, 2, 0)</f>
        <v>Ding et al. (2024)</v>
      </c>
    </row>
    <row r="105" spans="1:9">
      <c r="A105" s="5">
        <v>14</v>
      </c>
      <c r="B105" s="5" t="s">
        <v>109</v>
      </c>
      <c r="C105" s="5" t="s">
        <v>75</v>
      </c>
      <c r="D105" s="5">
        <v>0.73264402151107788</v>
      </c>
      <c r="E105" s="5">
        <v>0.61917513608932495</v>
      </c>
      <c r="F105" s="5">
        <v>0.70932430028915405</v>
      </c>
      <c r="G105" s="5">
        <v>0.73264402151107788</v>
      </c>
      <c r="H105" s="5">
        <v>0.31500327587127691</v>
      </c>
      <c r="I105" s="4" t="str">
        <f>VLOOKUP(A105, [1]Sheet2!H$2:I$42, 2, 0)</f>
        <v>Gupta et al. (2024)</v>
      </c>
    </row>
    <row r="106" spans="1:9">
      <c r="A106" s="5">
        <v>14</v>
      </c>
      <c r="B106" s="5" t="s">
        <v>110</v>
      </c>
      <c r="C106" s="5" t="s">
        <v>75</v>
      </c>
      <c r="D106" s="5">
        <v>0.78115487098693848</v>
      </c>
      <c r="E106" s="5">
        <v>0.70385199785232544</v>
      </c>
      <c r="F106" s="5">
        <v>0.70903730392456055</v>
      </c>
      <c r="G106" s="5">
        <v>0.78115487098693848</v>
      </c>
      <c r="H106" s="5">
        <v>0.48776823282241821</v>
      </c>
      <c r="I106" s="4" t="str">
        <f>VLOOKUP(A106, [1]Sheet2!H$2:I$42, 2, 0)</f>
        <v>Gupta et al. (2024)</v>
      </c>
    </row>
    <row r="107" spans="1:9">
      <c r="A107" s="5">
        <v>14</v>
      </c>
      <c r="B107" s="5" t="s">
        <v>111</v>
      </c>
      <c r="C107" s="5" t="s">
        <v>75</v>
      </c>
      <c r="D107" s="5">
        <v>0.74596232175827026</v>
      </c>
      <c r="E107" s="5">
        <v>0.65548598766326904</v>
      </c>
      <c r="F107" s="5">
        <v>0.60796761512756348</v>
      </c>
      <c r="G107" s="5">
        <v>0.74596232175827026</v>
      </c>
      <c r="H107" s="5">
        <v>0.57710647583007813</v>
      </c>
      <c r="I107" s="4" t="str">
        <f>VLOOKUP(A107, [1]Sheet2!H$2:I$42, 2, 0)</f>
        <v>Gupta et al. (2024)</v>
      </c>
    </row>
    <row r="108" spans="1:9">
      <c r="A108" s="5">
        <v>15</v>
      </c>
      <c r="B108" s="5" t="s">
        <v>112</v>
      </c>
      <c r="C108" s="5" t="s">
        <v>75</v>
      </c>
      <c r="D108" s="5">
        <v>0.79664862155914307</v>
      </c>
      <c r="E108" s="5">
        <v>0.5369110107421875</v>
      </c>
      <c r="F108" s="5">
        <v>0.59192764759063721</v>
      </c>
      <c r="G108" s="5">
        <v>0.79664862155914307</v>
      </c>
      <c r="H108" s="5">
        <v>0.73789215087890625</v>
      </c>
      <c r="I108" s="4" t="str">
        <f>VLOOKUP(A108, [1]Sheet2!H$2:I$42, 2, 0)</f>
        <v>Henry et al. (2021)</v>
      </c>
    </row>
    <row r="109" spans="1:9">
      <c r="A109" s="5">
        <v>15</v>
      </c>
      <c r="B109" s="5" t="s">
        <v>113</v>
      </c>
      <c r="C109" s="5" t="s">
        <v>75</v>
      </c>
      <c r="D109" s="5">
        <v>0.78086721897125244</v>
      </c>
      <c r="E109" s="5">
        <v>0.72432041168212891</v>
      </c>
      <c r="F109" s="5">
        <v>0.70240688323974609</v>
      </c>
      <c r="G109" s="5">
        <v>0.78086721897125244</v>
      </c>
      <c r="H109" s="5">
        <v>0.35123169422149658</v>
      </c>
      <c r="I109" s="4" t="str">
        <f>VLOOKUP(A109, [1]Sheet2!H$2:I$42, 2, 0)</f>
        <v>Henry et al. (2021)</v>
      </c>
    </row>
    <row r="110" spans="1:9">
      <c r="A110" s="5">
        <v>16</v>
      </c>
      <c r="B110" s="5" t="s">
        <v>114</v>
      </c>
      <c r="C110" s="5" t="s">
        <v>75</v>
      </c>
      <c r="D110" s="5">
        <v>0.54169398546218872</v>
      </c>
      <c r="E110" s="5">
        <v>0.32888138294219971</v>
      </c>
      <c r="F110" s="5">
        <v>0.29005837440490723</v>
      </c>
      <c r="G110" s="5">
        <v>0.54169398546218872</v>
      </c>
      <c r="H110" s="5">
        <v>0.32359603047370911</v>
      </c>
      <c r="I110" s="4" t="str">
        <f>VLOOKUP(A110, [1]Sheet2!H$2:I$42, 2, 0)</f>
        <v>Kathala et al. (2024)</v>
      </c>
    </row>
    <row r="111" spans="1:9">
      <c r="A111" s="5">
        <v>16</v>
      </c>
      <c r="B111" s="5" t="s">
        <v>115</v>
      </c>
      <c r="C111" s="5" t="s">
        <v>75</v>
      </c>
      <c r="D111" s="5">
        <v>0.51568472385406494</v>
      </c>
      <c r="E111" s="5">
        <v>0.37865060567855829</v>
      </c>
      <c r="F111" s="5">
        <v>0.50565522909164429</v>
      </c>
      <c r="G111" s="5">
        <v>0.51568472385406494</v>
      </c>
      <c r="H111" s="5">
        <v>0.4525763988494873</v>
      </c>
      <c r="I111" s="4" t="str">
        <f>VLOOKUP(A111, [1]Sheet2!H$2:I$42, 2, 0)</f>
        <v>Kathala et al. (2024)</v>
      </c>
    </row>
    <row r="112" spans="1:9">
      <c r="A112" s="5">
        <v>17</v>
      </c>
      <c r="B112" s="5" t="s">
        <v>116</v>
      </c>
      <c r="C112" s="5" t="s">
        <v>75</v>
      </c>
      <c r="D112" s="5">
        <v>0.81630754470825195</v>
      </c>
      <c r="E112" s="5">
        <v>0.56224310398101807</v>
      </c>
      <c r="F112" s="5">
        <v>0.56680774688720703</v>
      </c>
      <c r="G112" s="5">
        <v>0.81630754470825195</v>
      </c>
      <c r="H112" s="5">
        <v>0.48610743880271912</v>
      </c>
      <c r="I112" s="4" t="str">
        <f>VLOOKUP(A112, [1]Sheet2!H$2:I$42, 2, 0)</f>
        <v>Knoth et al. (2024)</v>
      </c>
    </row>
    <row r="113" spans="1:9">
      <c r="A113" s="5">
        <v>17</v>
      </c>
      <c r="B113" s="5" t="s">
        <v>117</v>
      </c>
      <c r="C113" s="5" t="s">
        <v>75</v>
      </c>
      <c r="D113" s="5">
        <v>0.67777729034423828</v>
      </c>
      <c r="E113" s="5">
        <v>0.62571573257446289</v>
      </c>
      <c r="F113" s="5">
        <v>0.66949605941772461</v>
      </c>
      <c r="G113" s="5">
        <v>0.67777729034423828</v>
      </c>
      <c r="H113" s="5">
        <v>0.58878117799758911</v>
      </c>
      <c r="I113" s="4" t="str">
        <f>VLOOKUP(A113, [1]Sheet2!H$2:I$42, 2, 0)</f>
        <v>Knoth et al. (2024)</v>
      </c>
    </row>
    <row r="114" spans="1:9">
      <c r="A114" s="5">
        <v>18</v>
      </c>
      <c r="B114" s="5" t="s">
        <v>118</v>
      </c>
      <c r="C114" s="5" t="s">
        <v>75</v>
      </c>
      <c r="D114" s="5">
        <v>0.82467097043991089</v>
      </c>
      <c r="E114" s="5">
        <v>0.7324671745300293</v>
      </c>
      <c r="F114" s="5">
        <v>0.67592740058898926</v>
      </c>
      <c r="G114" s="5">
        <v>0.82467097043991089</v>
      </c>
      <c r="H114" s="5">
        <v>0.52551209926605225</v>
      </c>
      <c r="I114" s="4" t="str">
        <f>VLOOKUP(A114, [1]Sheet2!H$2:I$42, 2, 0)</f>
        <v>Kong &amp; Yang (2024).</v>
      </c>
    </row>
    <row r="115" spans="1:9">
      <c r="A115" s="5">
        <v>19</v>
      </c>
      <c r="B115" s="5" t="s">
        <v>119</v>
      </c>
      <c r="C115" s="5" t="s">
        <v>75</v>
      </c>
      <c r="D115" s="5">
        <v>0.73786795139312744</v>
      </c>
      <c r="E115" s="5">
        <v>0.72345340251922607</v>
      </c>
      <c r="F115" s="5">
        <v>0.64562630653381348</v>
      </c>
      <c r="G115" s="5">
        <v>0.73786795139312744</v>
      </c>
      <c r="H115" s="5">
        <v>0.38753193616867071</v>
      </c>
      <c r="I115" s="4" t="str">
        <f>VLOOKUP(A115, [1]Sheet2!H$2:I$42, 2, 0)</f>
        <v>Long &amp; Magerko (2020)</v>
      </c>
    </row>
    <row r="116" spans="1:9">
      <c r="A116" s="5">
        <v>19</v>
      </c>
      <c r="B116" s="5" t="s">
        <v>120</v>
      </c>
      <c r="C116" s="5" t="s">
        <v>75</v>
      </c>
      <c r="D116" s="5">
        <v>0.63378196954727173</v>
      </c>
      <c r="E116" s="5">
        <v>0.59595692157745361</v>
      </c>
      <c r="F116" s="5">
        <v>0.53928780555725098</v>
      </c>
      <c r="G116" s="5">
        <v>0.63378196954727173</v>
      </c>
      <c r="H116" s="5">
        <v>0.52064657211303711</v>
      </c>
      <c r="I116" s="4" t="str">
        <f>VLOOKUP(A116, [1]Sheet2!H$2:I$42, 2, 0)</f>
        <v>Long &amp; Magerko (2020)</v>
      </c>
    </row>
    <row r="117" spans="1:9">
      <c r="A117" s="5">
        <v>19</v>
      </c>
      <c r="B117" s="5" t="s">
        <v>121</v>
      </c>
      <c r="C117" s="5" t="s">
        <v>75</v>
      </c>
      <c r="D117" s="5">
        <v>0.4793052077293396</v>
      </c>
      <c r="E117" s="5">
        <v>0.31012508273124689</v>
      </c>
      <c r="F117" s="5">
        <v>0.2464911341667175</v>
      </c>
      <c r="G117" s="5">
        <v>0.4793052077293396</v>
      </c>
      <c r="H117" s="5">
        <v>0.26621025800704962</v>
      </c>
      <c r="I117" s="4" t="str">
        <f>VLOOKUP(A117, [1]Sheet2!H$2:I$42, 2, 0)</f>
        <v>Long &amp; Magerko (2020)</v>
      </c>
    </row>
    <row r="118" spans="1:9">
      <c r="A118" s="5">
        <v>19</v>
      </c>
      <c r="B118" s="5" t="s">
        <v>122</v>
      </c>
      <c r="C118" s="5" t="s">
        <v>75</v>
      </c>
      <c r="D118" s="5">
        <v>0.4381299614906311</v>
      </c>
      <c r="E118" s="5">
        <v>0.42307513952255249</v>
      </c>
      <c r="F118" s="5">
        <v>0.37274065613746638</v>
      </c>
      <c r="G118" s="5">
        <v>0.4381299614906311</v>
      </c>
      <c r="H118" s="5">
        <v>0.29518276453018188</v>
      </c>
      <c r="I118" s="4" t="str">
        <f>VLOOKUP(A118, [1]Sheet2!H$2:I$42, 2, 0)</f>
        <v>Long &amp; Magerko (2020)</v>
      </c>
    </row>
    <row r="119" spans="1:9">
      <c r="A119" s="5">
        <v>19</v>
      </c>
      <c r="B119" s="5" t="s">
        <v>123</v>
      </c>
      <c r="C119" s="5" t="s">
        <v>75</v>
      </c>
      <c r="D119" s="5">
        <v>0.59747588634490967</v>
      </c>
      <c r="E119" s="5">
        <v>0.55217623710632324</v>
      </c>
      <c r="F119" s="5">
        <v>0.57371729612350464</v>
      </c>
      <c r="G119" s="5">
        <v>0.59747588634490967</v>
      </c>
      <c r="H119" s="5">
        <v>0.40328502655029302</v>
      </c>
      <c r="I119" s="4" t="str">
        <f>VLOOKUP(A119, [1]Sheet2!H$2:I$42, 2, 0)</f>
        <v>Long &amp; Magerko (2020)</v>
      </c>
    </row>
    <row r="120" spans="1:9">
      <c r="A120" s="5">
        <v>19</v>
      </c>
      <c r="B120" s="5" t="s">
        <v>124</v>
      </c>
      <c r="C120" s="5" t="s">
        <v>75</v>
      </c>
      <c r="D120" s="5">
        <v>0.60008519887924194</v>
      </c>
      <c r="E120" s="5">
        <v>0.52152901887893677</v>
      </c>
      <c r="F120" s="5">
        <v>0.4601997435092926</v>
      </c>
      <c r="G120" s="5">
        <v>0.60008519887924194</v>
      </c>
      <c r="H120" s="5">
        <v>0.44352471828460688</v>
      </c>
      <c r="I120" s="4" t="str">
        <f>VLOOKUP(A120, [1]Sheet2!H$2:I$42, 2, 0)</f>
        <v>Long &amp; Magerko (2020)</v>
      </c>
    </row>
    <row r="121" spans="1:9">
      <c r="A121" s="5">
        <v>19</v>
      </c>
      <c r="B121" s="5" t="s">
        <v>125</v>
      </c>
      <c r="C121" s="5" t="s">
        <v>75</v>
      </c>
      <c r="D121" s="5">
        <v>0.59191721677780151</v>
      </c>
      <c r="E121" s="5">
        <v>0.5137711763381958</v>
      </c>
      <c r="F121" s="5">
        <v>0.50452184677124023</v>
      </c>
      <c r="G121" s="5">
        <v>0.59191721677780151</v>
      </c>
      <c r="H121" s="5">
        <v>0.44229024648666382</v>
      </c>
      <c r="I121" s="4" t="str">
        <f>VLOOKUP(A121, [1]Sheet2!H$2:I$42, 2, 0)</f>
        <v>Long &amp; Magerko (2020)</v>
      </c>
    </row>
    <row r="122" spans="1:9">
      <c r="A122" s="5">
        <v>19</v>
      </c>
      <c r="B122" s="5" t="s">
        <v>126</v>
      </c>
      <c r="C122" s="5" t="s">
        <v>75</v>
      </c>
      <c r="D122" s="5">
        <v>0.69836384057998657</v>
      </c>
      <c r="E122" s="5">
        <v>0.63235431909561157</v>
      </c>
      <c r="F122" s="5">
        <v>0.60018771886825562</v>
      </c>
      <c r="G122" s="5">
        <v>0.69836384057998657</v>
      </c>
      <c r="H122" s="5">
        <v>0.38440567255020142</v>
      </c>
      <c r="I122" s="4" t="str">
        <f>VLOOKUP(A122, [1]Sheet2!H$2:I$42, 2, 0)</f>
        <v>Long &amp; Magerko (2020)</v>
      </c>
    </row>
    <row r="123" spans="1:9">
      <c r="A123" s="5">
        <v>19</v>
      </c>
      <c r="B123" s="5" t="s">
        <v>127</v>
      </c>
      <c r="C123" s="5" t="s">
        <v>75</v>
      </c>
      <c r="D123" s="5">
        <v>0.62006264925003052</v>
      </c>
      <c r="E123" s="5">
        <v>0.49661558866500849</v>
      </c>
      <c r="F123" s="5">
        <v>0.60110676288604736</v>
      </c>
      <c r="G123" s="5">
        <v>0.62006264925003052</v>
      </c>
      <c r="H123" s="5">
        <v>0.40065786242485052</v>
      </c>
      <c r="I123" s="4" t="str">
        <f>VLOOKUP(A123, [1]Sheet2!H$2:I$42, 2, 0)</f>
        <v>Long &amp; Magerko (2020)</v>
      </c>
    </row>
    <row r="124" spans="1:9">
      <c r="A124" s="5">
        <v>19</v>
      </c>
      <c r="B124" s="5" t="s">
        <v>128</v>
      </c>
      <c r="C124" s="5" t="s">
        <v>75</v>
      </c>
      <c r="D124" s="5">
        <v>0.63461804389953613</v>
      </c>
      <c r="E124" s="5">
        <v>0.4787660539150238</v>
      </c>
      <c r="F124" s="5">
        <v>0.41286516189575201</v>
      </c>
      <c r="G124" s="5">
        <v>0.63461804389953613</v>
      </c>
      <c r="H124" s="5">
        <v>0.48343354463577271</v>
      </c>
      <c r="I124" s="4" t="str">
        <f>VLOOKUP(A124, [1]Sheet2!H$2:I$42, 2, 0)</f>
        <v>Long &amp; Magerko (2020)</v>
      </c>
    </row>
    <row r="125" spans="1:9">
      <c r="A125" s="5">
        <v>19</v>
      </c>
      <c r="B125" s="5" t="s">
        <v>129</v>
      </c>
      <c r="C125" s="5" t="s">
        <v>75</v>
      </c>
      <c r="D125" s="5">
        <v>0.55717384815216064</v>
      </c>
      <c r="E125" s="5">
        <v>0.40387645363807678</v>
      </c>
      <c r="F125" s="5">
        <v>0.3545459508895874</v>
      </c>
      <c r="G125" s="5">
        <v>0.55717384815216064</v>
      </c>
      <c r="H125" s="5">
        <v>0.49637466669082642</v>
      </c>
      <c r="I125" s="4" t="str">
        <f>VLOOKUP(A125, [1]Sheet2!H$2:I$42, 2, 0)</f>
        <v>Long &amp; Magerko (2020)</v>
      </c>
    </row>
    <row r="126" spans="1:9">
      <c r="A126" s="5">
        <v>19</v>
      </c>
      <c r="B126" s="5" t="s">
        <v>130</v>
      </c>
      <c r="C126" s="5" t="s">
        <v>75</v>
      </c>
      <c r="D126" s="5">
        <v>0.84035724401473999</v>
      </c>
      <c r="E126" s="5">
        <v>0.63983333110809326</v>
      </c>
      <c r="F126" s="5">
        <v>0.64787912368774414</v>
      </c>
      <c r="G126" s="5">
        <v>0.84035724401473999</v>
      </c>
      <c r="H126" s="5">
        <v>0.37010043859481812</v>
      </c>
      <c r="I126" s="4" t="str">
        <f>VLOOKUP(A126, [1]Sheet2!H$2:I$42, 2, 0)</f>
        <v>Long &amp; Magerko (2020)</v>
      </c>
    </row>
    <row r="127" spans="1:9">
      <c r="A127" s="5">
        <v>20</v>
      </c>
      <c r="B127" s="5" t="s">
        <v>131</v>
      </c>
      <c r="C127" s="5" t="s">
        <v>75</v>
      </c>
      <c r="D127" s="5">
        <v>0.418214350938797</v>
      </c>
      <c r="E127" s="5">
        <v>0.32598894834518433</v>
      </c>
      <c r="F127" s="5">
        <v>0.31978285312652588</v>
      </c>
      <c r="G127" s="5">
        <v>0.418214350938797</v>
      </c>
      <c r="H127" s="5">
        <v>0.28227901458740229</v>
      </c>
      <c r="I127" s="4" t="str">
        <f>VLOOKUP(A127, [1]Sheet2!H$2:I$42, 2, 0)</f>
        <v>Markham &amp; Pronzato (2024)</v>
      </c>
    </row>
    <row r="128" spans="1:9">
      <c r="A128" s="5">
        <v>20</v>
      </c>
      <c r="B128" s="5" t="s">
        <v>132</v>
      </c>
      <c r="C128" s="5" t="s">
        <v>75</v>
      </c>
      <c r="D128" s="5">
        <v>0.78531897068023682</v>
      </c>
      <c r="E128" s="5">
        <v>0.49067148566246033</v>
      </c>
      <c r="F128" s="5">
        <v>0.45031064748764038</v>
      </c>
      <c r="G128" s="5">
        <v>0.78531897068023682</v>
      </c>
      <c r="H128" s="5">
        <v>0.60766744613647461</v>
      </c>
      <c r="I128" s="4" t="str">
        <f>VLOOKUP(A128, [1]Sheet2!H$2:I$42, 2, 0)</f>
        <v>Markham &amp; Pronzato (2024)</v>
      </c>
    </row>
    <row r="129" spans="1:9">
      <c r="A129" s="5">
        <v>21</v>
      </c>
      <c r="B129" s="5" t="s">
        <v>133</v>
      </c>
      <c r="C129" s="5" t="s">
        <v>75</v>
      </c>
      <c r="D129" s="5">
        <v>0.55102145671844482</v>
      </c>
      <c r="E129" s="5">
        <v>0.54471904039382935</v>
      </c>
      <c r="F129" s="5">
        <v>0.41074836254119867</v>
      </c>
      <c r="G129" s="5">
        <v>0.55102145671844482</v>
      </c>
      <c r="H129" s="5">
        <v>0.41455551981925959</v>
      </c>
      <c r="I129" s="4" t="str">
        <f>VLOOKUP(A129, [1]Sheet2!H$2:I$42, 2, 0)</f>
        <v>McCosker(2024)</v>
      </c>
    </row>
    <row r="130" spans="1:9">
      <c r="A130" s="5">
        <v>21</v>
      </c>
      <c r="B130" s="5" t="s">
        <v>134</v>
      </c>
      <c r="C130" s="5" t="s">
        <v>75</v>
      </c>
      <c r="D130" s="5">
        <v>0.60280263423919678</v>
      </c>
      <c r="E130" s="5">
        <v>0.48833981156349182</v>
      </c>
      <c r="F130" s="5">
        <v>0.47652599215507507</v>
      </c>
      <c r="G130" s="5">
        <v>0.60280263423919678</v>
      </c>
      <c r="H130" s="5">
        <v>0.42775720357894897</v>
      </c>
      <c r="I130" s="4" t="str">
        <f>VLOOKUP(A130, [1]Sheet2!H$2:I$42, 2, 0)</f>
        <v>McCosker(2024)</v>
      </c>
    </row>
    <row r="131" spans="1:9">
      <c r="A131" s="5">
        <v>21</v>
      </c>
      <c r="B131" s="5" t="s">
        <v>135</v>
      </c>
      <c r="C131" s="5" t="s">
        <v>75</v>
      </c>
      <c r="D131" s="5">
        <v>0.95480060577392578</v>
      </c>
      <c r="E131" s="5">
        <v>0.55243498086929321</v>
      </c>
      <c r="F131" s="5">
        <v>0.61980652809143066</v>
      </c>
      <c r="G131" s="5">
        <v>0.95480060577392578</v>
      </c>
      <c r="H131" s="5">
        <v>0.53122365474700928</v>
      </c>
      <c r="I131" s="4" t="str">
        <f>VLOOKUP(A131, [1]Sheet2!H$2:I$42, 2, 0)</f>
        <v>McCosker(2024)</v>
      </c>
    </row>
    <row r="132" spans="1:9">
      <c r="A132" s="5">
        <v>22</v>
      </c>
      <c r="B132" s="5" t="s">
        <v>136</v>
      </c>
      <c r="C132" s="5" t="s">
        <v>75</v>
      </c>
      <c r="D132" s="5">
        <v>0.74445074796676636</v>
      </c>
      <c r="E132" s="5">
        <v>0.72270667552947998</v>
      </c>
      <c r="F132" s="5">
        <v>0.57482492923736572</v>
      </c>
      <c r="G132" s="5">
        <v>0.74445074796676636</v>
      </c>
      <c r="H132" s="5">
        <v>0.48745030164718628</v>
      </c>
      <c r="I132" s="4" t="str">
        <f>VLOOKUP(A132, [1]Sheet2!H$2:I$42, 2, 0)</f>
        <v>Newman-Griffis(2025)</v>
      </c>
    </row>
    <row r="133" spans="1:9">
      <c r="A133" s="5">
        <v>22</v>
      </c>
      <c r="B133" s="5" t="s">
        <v>137</v>
      </c>
      <c r="C133" s="5" t="s">
        <v>75</v>
      </c>
      <c r="D133" s="5">
        <v>0.81144315004348755</v>
      </c>
      <c r="E133" s="5">
        <v>0.60275077819824219</v>
      </c>
      <c r="F133" s="5">
        <v>0.60489082336425781</v>
      </c>
      <c r="G133" s="5">
        <v>0.81144315004348755</v>
      </c>
      <c r="H133" s="5">
        <v>0.40779966115951538</v>
      </c>
      <c r="I133" s="4" t="str">
        <f>VLOOKUP(A133, [1]Sheet2!H$2:I$42, 2, 0)</f>
        <v>Newman-Griffis(2025)</v>
      </c>
    </row>
    <row r="134" spans="1:9">
      <c r="A134" s="5">
        <v>22</v>
      </c>
      <c r="B134" s="5" t="s">
        <v>138</v>
      </c>
      <c r="C134" s="5" t="s">
        <v>75</v>
      </c>
      <c r="D134" s="5">
        <v>0.71986502408981323</v>
      </c>
      <c r="E134" s="5">
        <v>0.52261519432067871</v>
      </c>
      <c r="F134" s="5">
        <v>0.6795661449432373</v>
      </c>
      <c r="G134" s="5">
        <v>0.71986502408981323</v>
      </c>
      <c r="H134" s="5">
        <v>0.3566555380821228</v>
      </c>
      <c r="I134" s="4" t="str">
        <f>VLOOKUP(A134, [1]Sheet2!H$2:I$42, 2, 0)</f>
        <v>Newman-Griffis(2025)</v>
      </c>
    </row>
    <row r="135" spans="1:9">
      <c r="A135" s="5">
        <v>22</v>
      </c>
      <c r="B135" s="5" t="s">
        <v>139</v>
      </c>
      <c r="C135" s="5" t="s">
        <v>75</v>
      </c>
      <c r="D135" s="5">
        <v>0.72698676586151123</v>
      </c>
      <c r="E135" s="5">
        <v>0.62545394897460938</v>
      </c>
      <c r="F135" s="5">
        <v>0.62505006790161133</v>
      </c>
      <c r="G135" s="5">
        <v>0.72698676586151123</v>
      </c>
      <c r="H135" s="5">
        <v>0.42975214123725891</v>
      </c>
      <c r="I135" s="4" t="str">
        <f>VLOOKUP(A135, [1]Sheet2!H$2:I$42, 2, 0)</f>
        <v>Newman-Griffis(2025)</v>
      </c>
    </row>
    <row r="136" spans="1:9">
      <c r="A136" s="5">
        <v>22</v>
      </c>
      <c r="B136" s="5" t="s">
        <v>140</v>
      </c>
      <c r="C136" s="5" t="s">
        <v>75</v>
      </c>
      <c r="D136" s="5">
        <v>0.86504542827606201</v>
      </c>
      <c r="E136" s="5">
        <v>0.68119680881500244</v>
      </c>
      <c r="F136" s="5">
        <v>0.77377939224243164</v>
      </c>
      <c r="G136" s="5">
        <v>0.86504542827606201</v>
      </c>
      <c r="H136" s="5">
        <v>0.55464410781860352</v>
      </c>
      <c r="I136" s="4" t="str">
        <f>VLOOKUP(A136, [1]Sheet2!H$2:I$42, 2, 0)</f>
        <v>Newman-Griffis(2025)</v>
      </c>
    </row>
    <row r="137" spans="1:9">
      <c r="A137" s="5">
        <v>23</v>
      </c>
      <c r="B137" s="5" t="s">
        <v>141</v>
      </c>
      <c r="C137" s="5" t="s">
        <v>75</v>
      </c>
      <c r="D137" s="5">
        <v>0.83382624387741089</v>
      </c>
      <c r="E137" s="5">
        <v>0.62148475646972656</v>
      </c>
      <c r="F137" s="5">
        <v>0.72128832340240479</v>
      </c>
      <c r="G137" s="5">
        <v>0.83382624387741089</v>
      </c>
      <c r="H137" s="5">
        <v>0.46478506922721857</v>
      </c>
      <c r="I137" s="4" t="str">
        <f>VLOOKUP(A137, [1]Sheet2!H$2:I$42, 2, 0)</f>
        <v>Ng et al. (2024)</v>
      </c>
    </row>
    <row r="138" spans="1:9">
      <c r="A138" s="5">
        <v>24</v>
      </c>
      <c r="B138" s="5" t="s">
        <v>142</v>
      </c>
      <c r="C138" s="5" t="s">
        <v>75</v>
      </c>
      <c r="D138" s="5">
        <v>0.83710634708404541</v>
      </c>
      <c r="E138" s="5">
        <v>0.5135490894317627</v>
      </c>
      <c r="F138" s="5">
        <v>0.5196073055267334</v>
      </c>
      <c r="G138" s="5">
        <v>0.83710634708404541</v>
      </c>
      <c r="H138" s="5">
        <v>0.48049801588058472</v>
      </c>
      <c r="I138" s="4" t="str">
        <f>VLOOKUP(A138, [1]Sheet2!H$2:I$42, 2, 0)</f>
        <v>Ng et al. (2023)</v>
      </c>
    </row>
    <row r="139" spans="1:9">
      <c r="A139" s="5">
        <v>24</v>
      </c>
      <c r="B139" s="5" t="s">
        <v>143</v>
      </c>
      <c r="C139" s="5" t="s">
        <v>75</v>
      </c>
      <c r="D139" s="5">
        <v>0.88381361961364746</v>
      </c>
      <c r="E139" s="5">
        <v>0.62372839450836182</v>
      </c>
      <c r="F139" s="5">
        <v>0.66749835014343262</v>
      </c>
      <c r="G139" s="5">
        <v>0.88381361961364746</v>
      </c>
      <c r="H139" s="5">
        <v>0.46076053380966192</v>
      </c>
      <c r="I139" s="4" t="str">
        <f>VLOOKUP(A139, [1]Sheet2!H$2:I$42, 2, 0)</f>
        <v>Ng et al. (2023)</v>
      </c>
    </row>
    <row r="140" spans="1:9">
      <c r="A140" s="5">
        <v>24</v>
      </c>
      <c r="B140" s="5" t="s">
        <v>141</v>
      </c>
      <c r="C140" s="5" t="s">
        <v>75</v>
      </c>
      <c r="D140" s="5">
        <v>0.83382624387741089</v>
      </c>
      <c r="E140" s="5">
        <v>0.62148475646972656</v>
      </c>
      <c r="F140" s="5">
        <v>0.72128832340240479</v>
      </c>
      <c r="G140" s="5">
        <v>0.83382624387741089</v>
      </c>
      <c r="H140" s="5">
        <v>0.46478506922721857</v>
      </c>
      <c r="I140" s="4" t="str">
        <f>VLOOKUP(A140, [1]Sheet2!H$2:I$42, 2, 0)</f>
        <v>Ng et al. (2023)</v>
      </c>
    </row>
    <row r="141" spans="1:9">
      <c r="A141" s="5">
        <v>25</v>
      </c>
      <c r="B141" s="5" t="s">
        <v>144</v>
      </c>
      <c r="C141" s="5" t="s">
        <v>75</v>
      </c>
      <c r="D141" s="5">
        <v>0.59579741954803467</v>
      </c>
      <c r="E141" s="5">
        <v>0.39578256011009222</v>
      </c>
      <c r="F141" s="5">
        <v>0.43783438205718989</v>
      </c>
      <c r="G141" s="5">
        <v>0.59579741954803467</v>
      </c>
      <c r="H141" s="5">
        <v>0.39174699783325201</v>
      </c>
      <c r="I141" s="4" t="str">
        <f>VLOOKUP(A141, [1]Sheet2!H$2:I$42, 2, 0)</f>
        <v>Ngo, &amp; Hastie (2025)</v>
      </c>
    </row>
    <row r="142" spans="1:9">
      <c r="A142" s="5">
        <v>25</v>
      </c>
      <c r="B142" s="5" t="s">
        <v>145</v>
      </c>
      <c r="C142" s="5" t="s">
        <v>75</v>
      </c>
      <c r="D142" s="5">
        <v>0.62313425540924072</v>
      </c>
      <c r="E142" s="5">
        <v>0.46000424027442932</v>
      </c>
      <c r="F142" s="5">
        <v>0.42319831252098078</v>
      </c>
      <c r="G142" s="5">
        <v>0.62313425540924072</v>
      </c>
      <c r="H142" s="5">
        <v>0.39593654870986938</v>
      </c>
      <c r="I142" s="4" t="str">
        <f>VLOOKUP(A142, [1]Sheet2!H$2:I$42, 2, 0)</f>
        <v>Ngo, &amp; Hastie (2025)</v>
      </c>
    </row>
    <row r="143" spans="1:9">
      <c r="A143" s="5">
        <v>25</v>
      </c>
      <c r="B143" s="5" t="s">
        <v>146</v>
      </c>
      <c r="C143" s="5" t="s">
        <v>75</v>
      </c>
      <c r="D143" s="5">
        <v>1</v>
      </c>
      <c r="E143" s="5">
        <v>0.61158883571624756</v>
      </c>
      <c r="F143" s="5">
        <v>0.54773461818695068</v>
      </c>
      <c r="G143" s="5">
        <v>1</v>
      </c>
      <c r="H143" s="5">
        <v>0.68410336971282959</v>
      </c>
      <c r="I143" s="4" t="str">
        <f>VLOOKUP(A143, [1]Sheet2!H$2:I$42, 2, 0)</f>
        <v>Ngo, &amp; Hastie (2025)</v>
      </c>
    </row>
    <row r="144" spans="1:9">
      <c r="A144" s="5">
        <v>26</v>
      </c>
      <c r="B144" s="5" t="s">
        <v>147</v>
      </c>
      <c r="C144" s="5" t="s">
        <v>75</v>
      </c>
      <c r="D144" s="5">
        <v>0.40985479950904852</v>
      </c>
      <c r="E144" s="5">
        <v>0.32562536001205439</v>
      </c>
      <c r="F144" s="5">
        <v>0.29242682456970209</v>
      </c>
      <c r="G144" s="5">
        <v>0.40985479950904852</v>
      </c>
      <c r="H144" s="5">
        <v>0.40035337209701538</v>
      </c>
      <c r="I144" s="4" t="str">
        <f>VLOOKUP(A144, [1]Sheet2!H$2:I$42, 2, 0)</f>
        <v>Okada et al. (2025)</v>
      </c>
    </row>
    <row r="145" spans="1:9">
      <c r="A145" s="5">
        <v>26</v>
      </c>
      <c r="B145" s="5" t="s">
        <v>91</v>
      </c>
      <c r="C145" s="5" t="s">
        <v>75</v>
      </c>
      <c r="D145" s="5">
        <v>0.87238198518753052</v>
      </c>
      <c r="E145" s="5">
        <v>0.34671944379806519</v>
      </c>
      <c r="F145" s="5">
        <v>0.43438100814819341</v>
      </c>
      <c r="G145" s="5">
        <v>0.87238198518753052</v>
      </c>
      <c r="H145" s="5">
        <v>0.49229341745376592</v>
      </c>
      <c r="I145" s="4" t="str">
        <f>VLOOKUP(A145, [1]Sheet2!H$2:I$42, 2, 0)</f>
        <v>Okada et al. (2025)</v>
      </c>
    </row>
    <row r="146" spans="1:9">
      <c r="A146" s="5">
        <v>26</v>
      </c>
      <c r="B146" s="5" t="s">
        <v>148</v>
      </c>
      <c r="C146" s="5" t="s">
        <v>75</v>
      </c>
      <c r="D146" s="5">
        <v>0.67980074882507324</v>
      </c>
      <c r="E146" s="5">
        <v>0.5286639928817749</v>
      </c>
      <c r="F146" s="5">
        <v>0.64878499507904053</v>
      </c>
      <c r="G146" s="5">
        <v>0.67980074882507324</v>
      </c>
      <c r="H146" s="5">
        <v>0.44515413045883179</v>
      </c>
      <c r="I146" s="4" t="str">
        <f>VLOOKUP(A146, [1]Sheet2!H$2:I$42, 2, 0)</f>
        <v>Okada et al. (2025)</v>
      </c>
    </row>
    <row r="147" spans="1:9">
      <c r="A147" s="5">
        <v>27</v>
      </c>
      <c r="B147" s="5" t="s">
        <v>149</v>
      </c>
      <c r="C147" s="5" t="s">
        <v>75</v>
      </c>
      <c r="D147" s="5">
        <v>0.75898420810699463</v>
      </c>
      <c r="E147" s="5">
        <v>0.58042025566101074</v>
      </c>
      <c r="F147" s="5">
        <v>0.42421472072601318</v>
      </c>
      <c r="G147" s="5">
        <v>0.75898420810699463</v>
      </c>
      <c r="H147" s="5">
        <v>0.46845057606697083</v>
      </c>
      <c r="I147" s="4" t="str">
        <f>VLOOKUP(A147, [1]Sheet2!H$2:I$42, 2, 0)</f>
        <v>Olari &amp; Romeike (2021)</v>
      </c>
    </row>
    <row r="148" spans="1:9">
      <c r="A148" s="5">
        <v>27</v>
      </c>
      <c r="B148" s="5" t="s">
        <v>150</v>
      </c>
      <c r="C148" s="5" t="s">
        <v>75</v>
      </c>
      <c r="D148" s="5">
        <v>0.71995282173156738</v>
      </c>
      <c r="E148" s="5">
        <v>0.50656640529632568</v>
      </c>
      <c r="F148" s="5">
        <v>0.55533671379089355</v>
      </c>
      <c r="G148" s="5">
        <v>0.71995282173156738</v>
      </c>
      <c r="H148" s="5">
        <v>0.66070657968521118</v>
      </c>
      <c r="I148" s="4" t="str">
        <f>VLOOKUP(A148, [1]Sheet2!H$2:I$42, 2, 0)</f>
        <v>Olari &amp; Romeike (2021)</v>
      </c>
    </row>
    <row r="149" spans="1:9">
      <c r="A149" s="5">
        <v>27</v>
      </c>
      <c r="B149" s="5" t="s">
        <v>151</v>
      </c>
      <c r="C149" s="5" t="s">
        <v>75</v>
      </c>
      <c r="D149" s="5">
        <v>0.69090402126312256</v>
      </c>
      <c r="E149" s="5">
        <v>0.42720836400985718</v>
      </c>
      <c r="F149" s="5">
        <v>0.55703020095825195</v>
      </c>
      <c r="G149" s="5">
        <v>0.69090402126312256</v>
      </c>
      <c r="H149" s="5">
        <v>0.6551971435546875</v>
      </c>
      <c r="I149" s="4" t="str">
        <f>VLOOKUP(A149, [1]Sheet2!H$2:I$42, 2, 0)</f>
        <v>Olari &amp; Romeike (2021)</v>
      </c>
    </row>
    <row r="150" spans="1:9">
      <c r="A150" s="5">
        <v>27</v>
      </c>
      <c r="B150" s="5" t="s">
        <v>152</v>
      </c>
      <c r="C150" s="5" t="s">
        <v>75</v>
      </c>
      <c r="D150" s="5">
        <v>0.85362887382507324</v>
      </c>
      <c r="E150" s="5">
        <v>0.61332434415817261</v>
      </c>
      <c r="F150" s="5">
        <v>0.47765564918518072</v>
      </c>
      <c r="G150" s="5">
        <v>0.85362887382507324</v>
      </c>
      <c r="H150" s="5">
        <v>0.67575901746749878</v>
      </c>
      <c r="I150" s="4" t="str">
        <f>VLOOKUP(A150, [1]Sheet2!H$2:I$42, 2, 0)</f>
        <v>Olari &amp; Romeike (2021)</v>
      </c>
    </row>
    <row r="151" spans="1:9">
      <c r="A151" s="5">
        <v>27</v>
      </c>
      <c r="B151" s="5" t="s">
        <v>76</v>
      </c>
      <c r="C151" s="5" t="s">
        <v>75</v>
      </c>
      <c r="D151" s="5">
        <v>0.91089379787445068</v>
      </c>
      <c r="E151" s="5">
        <v>0.6040416955947876</v>
      </c>
      <c r="F151" s="5">
        <v>0.50312161445617676</v>
      </c>
      <c r="G151" s="5">
        <v>0.91089379787445068</v>
      </c>
      <c r="H151" s="5">
        <v>0.63145393133163452</v>
      </c>
      <c r="I151" s="4" t="str">
        <f>VLOOKUP(A151, [1]Sheet2!H$2:I$42, 2, 0)</f>
        <v>Olari &amp; Romeike (2021)</v>
      </c>
    </row>
    <row r="152" spans="1:9">
      <c r="A152" s="5">
        <v>27</v>
      </c>
      <c r="B152" s="5" t="s">
        <v>153</v>
      </c>
      <c r="C152" s="5" t="s">
        <v>75</v>
      </c>
      <c r="D152" s="5">
        <v>0.49920946359634399</v>
      </c>
      <c r="E152" s="5">
        <v>0.44918352365493769</v>
      </c>
      <c r="F152" s="5">
        <v>0.35173684358596802</v>
      </c>
      <c r="G152" s="5">
        <v>0.49920946359634399</v>
      </c>
      <c r="H152" s="5">
        <v>0.41370487213134771</v>
      </c>
      <c r="I152" s="4" t="str">
        <f>VLOOKUP(A152, [1]Sheet2!H$2:I$42, 2, 0)</f>
        <v>Olari &amp; Romeike (2021)</v>
      </c>
    </row>
    <row r="153" spans="1:9">
      <c r="A153" s="5">
        <v>28</v>
      </c>
      <c r="B153" s="5" t="s">
        <v>154</v>
      </c>
      <c r="C153" s="5" t="s">
        <v>75</v>
      </c>
      <c r="D153" s="5">
        <v>0.58597123622894287</v>
      </c>
      <c r="E153" s="5">
        <v>0.56140422821044922</v>
      </c>
      <c r="F153" s="5">
        <v>0.54699480533599854</v>
      </c>
      <c r="G153" s="5">
        <v>0.58597123622894287</v>
      </c>
      <c r="H153" s="5">
        <v>0.52453780174255371</v>
      </c>
      <c r="I153" s="4" t="str">
        <f>VLOOKUP(A153, [1]Sheet2!H$2:I$42, 2, 0)</f>
        <v>Palmquist et al. (2025)</v>
      </c>
    </row>
    <row r="154" spans="1:9">
      <c r="A154" s="5">
        <v>29</v>
      </c>
      <c r="B154" s="5" t="s">
        <v>155</v>
      </c>
      <c r="C154" s="5" t="s">
        <v>75</v>
      </c>
      <c r="D154" s="5">
        <v>0.69553118944168091</v>
      </c>
      <c r="E154" s="5">
        <v>0.64592909812927246</v>
      </c>
      <c r="F154" s="5">
        <v>0.63779616355895996</v>
      </c>
      <c r="G154" s="5">
        <v>0.69553118944168091</v>
      </c>
      <c r="H154" s="5">
        <v>0.46164673566818237</v>
      </c>
      <c r="I154" s="4" t="str">
        <f>VLOOKUP(A154, [1]Sheet2!H$2:I$42, 2, 0)</f>
        <v>Ru &amp; Tang (2025)</v>
      </c>
    </row>
    <row r="155" spans="1:9">
      <c r="A155" s="5">
        <v>29</v>
      </c>
      <c r="B155" s="5" t="s">
        <v>156</v>
      </c>
      <c r="C155" s="5" t="s">
        <v>75</v>
      </c>
      <c r="D155" s="5">
        <v>0.76915770769119263</v>
      </c>
      <c r="E155" s="5">
        <v>0.73089712858200073</v>
      </c>
      <c r="F155" s="5">
        <v>0.67506474256515503</v>
      </c>
      <c r="G155" s="5">
        <v>0.76915770769119263</v>
      </c>
      <c r="H155" s="5">
        <v>0.38996386528015142</v>
      </c>
      <c r="I155" s="4" t="str">
        <f>VLOOKUP(A155, [1]Sheet2!H$2:I$42, 2, 0)</f>
        <v>Ru &amp; Tang (2025)</v>
      </c>
    </row>
    <row r="156" spans="1:9">
      <c r="A156" s="5">
        <v>29</v>
      </c>
      <c r="B156" s="5" t="s">
        <v>157</v>
      </c>
      <c r="C156" s="5" t="s">
        <v>75</v>
      </c>
      <c r="D156" s="5">
        <v>0.64409756660461426</v>
      </c>
      <c r="E156" s="5">
        <v>0.56663429737091064</v>
      </c>
      <c r="F156" s="5">
        <v>0.60037469863891602</v>
      </c>
      <c r="G156" s="5">
        <v>0.64409756660461426</v>
      </c>
      <c r="H156" s="5">
        <v>0.63438248634338379</v>
      </c>
      <c r="I156" s="4" t="str">
        <f>VLOOKUP(A156, [1]Sheet2!H$2:I$42, 2, 0)</f>
        <v>Ru &amp; Tang (2025)</v>
      </c>
    </row>
    <row r="157" spans="1:9">
      <c r="A157" s="5">
        <v>30</v>
      </c>
      <c r="B157" s="5" t="s">
        <v>158</v>
      </c>
      <c r="C157" s="5" t="s">
        <v>75</v>
      </c>
      <c r="D157" s="5">
        <v>0.55121612548828125</v>
      </c>
      <c r="E157" s="5">
        <v>0.49993881583213812</v>
      </c>
      <c r="F157" s="5">
        <v>0.3648262619972229</v>
      </c>
      <c r="G157" s="5">
        <v>0.55121612548828125</v>
      </c>
      <c r="H157" s="5">
        <v>0.44629594683647161</v>
      </c>
      <c r="I157" s="4" t="str">
        <f>VLOOKUP(A157, [1]Sheet2!H$2:I$42, 2, 0)</f>
        <v>Schleiss et al. (2023)</v>
      </c>
    </row>
    <row r="158" spans="1:9">
      <c r="A158" s="5">
        <v>30</v>
      </c>
      <c r="B158" s="5" t="s">
        <v>159</v>
      </c>
      <c r="C158" s="5" t="s">
        <v>75</v>
      </c>
      <c r="D158" s="5">
        <v>0.66846442222595215</v>
      </c>
      <c r="E158" s="5">
        <v>0.51549261808395386</v>
      </c>
      <c r="F158" s="5">
        <v>0.63417530059814453</v>
      </c>
      <c r="G158" s="5">
        <v>0.66846442222595215</v>
      </c>
      <c r="H158" s="5">
        <v>0.36469274759292603</v>
      </c>
      <c r="I158" s="4" t="str">
        <f>VLOOKUP(A158, [1]Sheet2!H$2:I$42, 2, 0)</f>
        <v>Schleiss et al. (2023)</v>
      </c>
    </row>
    <row r="159" spans="1:9">
      <c r="A159" s="5">
        <v>30</v>
      </c>
      <c r="B159" s="5" t="s">
        <v>160</v>
      </c>
      <c r="C159" s="5" t="s">
        <v>75</v>
      </c>
      <c r="D159" s="5">
        <v>0.64307105541229248</v>
      </c>
      <c r="E159" s="5">
        <v>0.55236899852752686</v>
      </c>
      <c r="F159" s="5">
        <v>0.6323201060295105</v>
      </c>
      <c r="G159" s="5">
        <v>0.64307105541229248</v>
      </c>
      <c r="H159" s="5">
        <v>0.47132456302642822</v>
      </c>
      <c r="I159" s="4" t="str">
        <f>VLOOKUP(A159, [1]Sheet2!H$2:I$42, 2, 0)</f>
        <v>Schleiss et al. (2023)</v>
      </c>
    </row>
    <row r="160" spans="1:9">
      <c r="A160" s="5">
        <v>30</v>
      </c>
      <c r="B160" s="5" t="s">
        <v>161</v>
      </c>
      <c r="C160" s="5" t="s">
        <v>75</v>
      </c>
      <c r="D160" s="5">
        <v>0.80890083312988281</v>
      </c>
      <c r="E160" s="5">
        <v>0.57951962947845459</v>
      </c>
      <c r="F160" s="5">
        <v>0.48649650812149048</v>
      </c>
      <c r="G160" s="5">
        <v>0.80890083312988281</v>
      </c>
      <c r="H160" s="5">
        <v>0.53166544437408447</v>
      </c>
      <c r="I160" s="4" t="str">
        <f>VLOOKUP(A160, [1]Sheet2!H$2:I$42, 2, 0)</f>
        <v>Schleiss et al. (2023)</v>
      </c>
    </row>
    <row r="161" spans="1:9">
      <c r="A161" s="5">
        <v>31</v>
      </c>
      <c r="B161" s="5" t="s">
        <v>162</v>
      </c>
      <c r="C161" s="5" t="s">
        <v>75</v>
      </c>
      <c r="D161" s="5">
        <v>0.79150223731994629</v>
      </c>
      <c r="E161" s="5">
        <v>0.73113733530044556</v>
      </c>
      <c r="F161" s="5">
        <v>0.73276901245117188</v>
      </c>
      <c r="G161" s="5">
        <v>0.79150223731994629</v>
      </c>
      <c r="H161" s="5">
        <v>0.39020764827728271</v>
      </c>
      <c r="I161" s="4" t="str">
        <f>VLOOKUP(A161, [1]Sheet2!H$2:I$42, 2, 0)</f>
        <v>Shiri(2024)</v>
      </c>
    </row>
    <row r="162" spans="1:9">
      <c r="A162" s="5">
        <v>31</v>
      </c>
      <c r="B162" s="5" t="s">
        <v>163</v>
      </c>
      <c r="C162" s="5" t="s">
        <v>75</v>
      </c>
      <c r="D162" s="5">
        <v>0.74904477596282959</v>
      </c>
      <c r="E162" s="5">
        <v>0.58566635847091675</v>
      </c>
      <c r="F162" s="5">
        <v>0.53338336944580078</v>
      </c>
      <c r="G162" s="5">
        <v>0.74904477596282959</v>
      </c>
      <c r="H162" s="5">
        <v>0.54938745498657227</v>
      </c>
      <c r="I162" s="4" t="str">
        <f>VLOOKUP(A162, [1]Sheet2!H$2:I$42, 2, 0)</f>
        <v>Shiri(2024)</v>
      </c>
    </row>
    <row r="163" spans="1:9">
      <c r="A163" s="5">
        <v>31</v>
      </c>
      <c r="B163" s="5" t="s">
        <v>164</v>
      </c>
      <c r="C163" s="5" t="s">
        <v>75</v>
      </c>
      <c r="D163" s="5">
        <v>0.79652076959609985</v>
      </c>
      <c r="E163" s="5">
        <v>0.6425633430480957</v>
      </c>
      <c r="F163" s="5">
        <v>0.74247723817825317</v>
      </c>
      <c r="G163" s="5">
        <v>0.79652076959609985</v>
      </c>
      <c r="H163" s="5">
        <v>0.40549826622009277</v>
      </c>
      <c r="I163" s="4" t="str">
        <f>VLOOKUP(A163, [1]Sheet2!H$2:I$42, 2, 0)</f>
        <v>Shiri(2024)</v>
      </c>
    </row>
    <row r="164" spans="1:9">
      <c r="A164" s="5">
        <v>31</v>
      </c>
      <c r="B164" s="5" t="s">
        <v>165</v>
      </c>
      <c r="C164" s="5" t="s">
        <v>75</v>
      </c>
      <c r="D164" s="5">
        <v>0.72778069972991943</v>
      </c>
      <c r="E164" s="5">
        <v>0.59254992008209229</v>
      </c>
      <c r="F164" s="5">
        <v>0.58338809013366699</v>
      </c>
      <c r="G164" s="5">
        <v>0.72778069972991943</v>
      </c>
      <c r="H164" s="5">
        <v>0.70964866876602173</v>
      </c>
      <c r="I164" s="4" t="str">
        <f>VLOOKUP(A164, [1]Sheet2!H$2:I$42, 2, 0)</f>
        <v>Shiri(2024)</v>
      </c>
    </row>
    <row r="165" spans="1:9">
      <c r="A165" s="5">
        <v>31</v>
      </c>
      <c r="B165" s="5" t="s">
        <v>77</v>
      </c>
      <c r="C165" s="5" t="s">
        <v>75</v>
      </c>
      <c r="D165" s="5">
        <v>0.74018430709838867</v>
      </c>
      <c r="E165" s="5">
        <v>0.56896466016769409</v>
      </c>
      <c r="F165" s="5">
        <v>0.45426633954048162</v>
      </c>
      <c r="G165" s="5">
        <v>0.74018430709838867</v>
      </c>
      <c r="H165" s="5">
        <v>0.51067054271697998</v>
      </c>
      <c r="I165" s="4" t="str">
        <f>VLOOKUP(A165, [1]Sheet2!H$2:I$42, 2, 0)</f>
        <v>Shiri(2024)</v>
      </c>
    </row>
    <row r="166" spans="1:9">
      <c r="A166" s="5">
        <v>31</v>
      </c>
      <c r="B166" s="5" t="s">
        <v>166</v>
      </c>
      <c r="C166" s="5" t="s">
        <v>75</v>
      </c>
      <c r="D166" s="5">
        <v>0.75593113899230957</v>
      </c>
      <c r="E166" s="5">
        <v>0.66499578952789307</v>
      </c>
      <c r="F166" s="5">
        <v>0.67407411336898804</v>
      </c>
      <c r="G166" s="5">
        <v>0.75593113899230957</v>
      </c>
      <c r="H166" s="5">
        <v>0.53721743822097778</v>
      </c>
      <c r="I166" s="4" t="str">
        <f>VLOOKUP(A166, [1]Sheet2!H$2:I$42, 2, 0)</f>
        <v>Shiri(2024)</v>
      </c>
    </row>
    <row r="167" spans="1:9">
      <c r="A167" s="5">
        <v>31</v>
      </c>
      <c r="B167" s="5" t="s">
        <v>167</v>
      </c>
      <c r="C167" s="5" t="s">
        <v>75</v>
      </c>
      <c r="D167" s="5">
        <v>0.61228096485137939</v>
      </c>
      <c r="E167" s="5">
        <v>0.41785198450088501</v>
      </c>
      <c r="F167" s="5">
        <v>0.38515827059745789</v>
      </c>
      <c r="G167" s="5">
        <v>0.61228096485137939</v>
      </c>
      <c r="H167" s="5">
        <v>0.41712075471878052</v>
      </c>
      <c r="I167" s="4" t="str">
        <f>VLOOKUP(A167, [1]Sheet2!H$2:I$42, 2, 0)</f>
        <v>Shiri(2024)</v>
      </c>
    </row>
    <row r="168" spans="1:9">
      <c r="A168" s="5">
        <v>31</v>
      </c>
      <c r="B168" s="5" t="s">
        <v>168</v>
      </c>
      <c r="C168" s="5" t="s">
        <v>75</v>
      </c>
      <c r="D168" s="5">
        <v>0.60273468494415283</v>
      </c>
      <c r="E168" s="5">
        <v>0.59992283582687378</v>
      </c>
      <c r="F168" s="5">
        <v>0.51999807357788086</v>
      </c>
      <c r="G168" s="5">
        <v>0.60273468494415283</v>
      </c>
      <c r="H168" s="5">
        <v>0.57897341251373291</v>
      </c>
      <c r="I168" s="4" t="str">
        <f>VLOOKUP(A168, [1]Sheet2!H$2:I$42, 2, 0)</f>
        <v>Shiri(2024)</v>
      </c>
    </row>
    <row r="169" spans="1:9">
      <c r="A169" s="5">
        <v>31</v>
      </c>
      <c r="B169" s="5" t="s">
        <v>169</v>
      </c>
      <c r="C169" s="5" t="s">
        <v>75</v>
      </c>
      <c r="D169" s="5">
        <v>0.53880220651626587</v>
      </c>
      <c r="E169" s="5">
        <v>0.46283304691314697</v>
      </c>
      <c r="F169" s="5">
        <v>0.48045319318771362</v>
      </c>
      <c r="G169" s="5">
        <v>0.53880220651626587</v>
      </c>
      <c r="H169" s="5">
        <v>0.52799093723297119</v>
      </c>
      <c r="I169" s="4" t="str">
        <f>VLOOKUP(A169, [1]Sheet2!H$2:I$42, 2, 0)</f>
        <v>Shiri(2024)</v>
      </c>
    </row>
    <row r="170" spans="1:9">
      <c r="A170" s="5">
        <v>31</v>
      </c>
      <c r="B170" s="5" t="s">
        <v>170</v>
      </c>
      <c r="C170" s="5" t="s">
        <v>75</v>
      </c>
      <c r="D170" s="5">
        <v>0.47983705997467041</v>
      </c>
      <c r="E170" s="5">
        <v>0.44326120615005488</v>
      </c>
      <c r="F170" s="5">
        <v>0.41295367479324341</v>
      </c>
      <c r="G170" s="5">
        <v>0.47983705997467041</v>
      </c>
      <c r="H170" s="5">
        <v>0.375276118516922</v>
      </c>
      <c r="I170" s="4" t="str">
        <f>VLOOKUP(A170, [1]Sheet2!H$2:I$42, 2, 0)</f>
        <v>Shiri(2024)</v>
      </c>
    </row>
    <row r="171" spans="1:9">
      <c r="A171" s="5">
        <v>32</v>
      </c>
      <c r="B171" s="5" t="s">
        <v>119</v>
      </c>
      <c r="C171" s="5" t="s">
        <v>75</v>
      </c>
      <c r="D171" s="5">
        <v>0.73786795139312744</v>
      </c>
      <c r="E171" s="5">
        <v>0.72345340251922607</v>
      </c>
      <c r="F171" s="5">
        <v>0.64562630653381348</v>
      </c>
      <c r="G171" s="5">
        <v>0.73786795139312744</v>
      </c>
      <c r="H171" s="5">
        <v>0.38753193616867071</v>
      </c>
      <c r="I171" s="4" t="str">
        <f>VLOOKUP(A171, [1]Sheet2!H$2:I$42, 2, 0)</f>
        <v>Smith et al. (2025)</v>
      </c>
    </row>
    <row r="172" spans="1:9">
      <c r="A172" s="5">
        <v>32</v>
      </c>
      <c r="B172" s="5" t="s">
        <v>120</v>
      </c>
      <c r="C172" s="5" t="s">
        <v>75</v>
      </c>
      <c r="D172" s="5">
        <v>0.63378196954727173</v>
      </c>
      <c r="E172" s="5">
        <v>0.59595692157745361</v>
      </c>
      <c r="F172" s="5">
        <v>0.53928780555725098</v>
      </c>
      <c r="G172" s="5">
        <v>0.63378196954727173</v>
      </c>
      <c r="H172" s="5">
        <v>0.52064657211303711</v>
      </c>
      <c r="I172" s="4" t="str">
        <f>VLOOKUP(A172, [1]Sheet2!H$2:I$42, 2, 0)</f>
        <v>Smith et al. (2025)</v>
      </c>
    </row>
    <row r="173" spans="1:9">
      <c r="A173" s="5">
        <v>32</v>
      </c>
      <c r="B173" s="5" t="s">
        <v>171</v>
      </c>
      <c r="C173" s="5" t="s">
        <v>75</v>
      </c>
      <c r="D173" s="5">
        <v>0.52518981695175171</v>
      </c>
      <c r="E173" s="5">
        <v>0.47376912832260132</v>
      </c>
      <c r="F173" s="5">
        <v>0.36829835176467901</v>
      </c>
      <c r="G173" s="5">
        <v>0.52518981695175171</v>
      </c>
      <c r="H173" s="5">
        <v>0.2693668007850647</v>
      </c>
      <c r="I173" s="4" t="str">
        <f>VLOOKUP(A173, [1]Sheet2!H$2:I$42, 2, 0)</f>
        <v>Smith et al. (2025)</v>
      </c>
    </row>
    <row r="174" spans="1:9">
      <c r="A174" s="5">
        <v>32</v>
      </c>
      <c r="B174" s="5" t="s">
        <v>172</v>
      </c>
      <c r="C174" s="5" t="s">
        <v>75</v>
      </c>
      <c r="D174" s="5">
        <v>0.5034564733505249</v>
      </c>
      <c r="E174" s="5">
        <v>0.49295133352279658</v>
      </c>
      <c r="F174" s="5">
        <v>0.42319279909133911</v>
      </c>
      <c r="G174" s="5">
        <v>0.5034564733505249</v>
      </c>
      <c r="H174" s="5">
        <v>0.38438811898231512</v>
      </c>
      <c r="I174" s="4" t="str">
        <f>VLOOKUP(A174, [1]Sheet2!H$2:I$42, 2, 0)</f>
        <v>Smith et al. (2025)</v>
      </c>
    </row>
    <row r="175" spans="1:9">
      <c r="A175" s="5">
        <v>32</v>
      </c>
      <c r="B175" s="5" t="s">
        <v>123</v>
      </c>
      <c r="C175" s="5" t="s">
        <v>75</v>
      </c>
      <c r="D175" s="5">
        <v>0.59747588634490967</v>
      </c>
      <c r="E175" s="5">
        <v>0.55217623710632324</v>
      </c>
      <c r="F175" s="5">
        <v>0.57371729612350464</v>
      </c>
      <c r="G175" s="5">
        <v>0.59747588634490967</v>
      </c>
      <c r="H175" s="5">
        <v>0.40328502655029302</v>
      </c>
      <c r="I175" s="4" t="str">
        <f>VLOOKUP(A175, [1]Sheet2!H$2:I$42, 2, 0)</f>
        <v>Smith et al. (2025)</v>
      </c>
    </row>
    <row r="176" spans="1:9">
      <c r="A176" s="5">
        <v>32</v>
      </c>
      <c r="B176" s="5" t="s">
        <v>173</v>
      </c>
      <c r="C176" s="5" t="s">
        <v>75</v>
      </c>
      <c r="D176" s="5">
        <v>0.76189631223678589</v>
      </c>
      <c r="E176" s="5">
        <v>0.55373406410217285</v>
      </c>
      <c r="F176" s="5">
        <v>0.5248265266418457</v>
      </c>
      <c r="G176" s="5">
        <v>0.76189631223678589</v>
      </c>
      <c r="H176" s="5">
        <v>0.49889898300170898</v>
      </c>
      <c r="I176" s="4" t="str">
        <f>VLOOKUP(A176, [1]Sheet2!H$2:I$42, 2, 0)</f>
        <v>Smith et al. (2025)</v>
      </c>
    </row>
    <row r="177" spans="1:9">
      <c r="A177" s="5">
        <v>32</v>
      </c>
      <c r="B177" s="5" t="s">
        <v>125</v>
      </c>
      <c r="C177" s="5" t="s">
        <v>75</v>
      </c>
      <c r="D177" s="5">
        <v>0.59191721677780151</v>
      </c>
      <c r="E177" s="5">
        <v>0.5137711763381958</v>
      </c>
      <c r="F177" s="5">
        <v>0.50452184677124023</v>
      </c>
      <c r="G177" s="5">
        <v>0.59191721677780151</v>
      </c>
      <c r="H177" s="5">
        <v>0.44229024648666382</v>
      </c>
      <c r="I177" s="4" t="str">
        <f>VLOOKUP(A177, [1]Sheet2!H$2:I$42, 2, 0)</f>
        <v>Smith et al. (2025)</v>
      </c>
    </row>
    <row r="178" spans="1:9">
      <c r="A178" s="5">
        <v>32</v>
      </c>
      <c r="B178" s="5" t="s">
        <v>174</v>
      </c>
      <c r="C178" s="5" t="s">
        <v>75</v>
      </c>
      <c r="D178" s="5">
        <v>0.90353107452392578</v>
      </c>
      <c r="E178" s="5">
        <v>0.43936413526535029</v>
      </c>
      <c r="F178" s="5">
        <v>0.56479257345199585</v>
      </c>
      <c r="G178" s="5">
        <v>0.90353107452392578</v>
      </c>
      <c r="H178" s="5">
        <v>0.44370880722999573</v>
      </c>
      <c r="I178" s="4" t="str">
        <f>VLOOKUP(A178, [1]Sheet2!H$2:I$42, 2, 0)</f>
        <v>Smith et al. (2025)</v>
      </c>
    </row>
    <row r="179" spans="1:9">
      <c r="A179" s="5">
        <v>32</v>
      </c>
      <c r="B179" s="5" t="s">
        <v>126</v>
      </c>
      <c r="C179" s="5" t="s">
        <v>75</v>
      </c>
      <c r="D179" s="5">
        <v>0.69836384057998657</v>
      </c>
      <c r="E179" s="5">
        <v>0.63235431909561157</v>
      </c>
      <c r="F179" s="5">
        <v>0.60018771886825562</v>
      </c>
      <c r="G179" s="5">
        <v>0.69836384057998657</v>
      </c>
      <c r="H179" s="5">
        <v>0.38440567255020142</v>
      </c>
      <c r="I179" s="4" t="str">
        <f>VLOOKUP(A179, [1]Sheet2!H$2:I$42, 2, 0)</f>
        <v>Smith et al. (2025)</v>
      </c>
    </row>
    <row r="180" spans="1:9">
      <c r="A180" s="5">
        <v>32</v>
      </c>
      <c r="B180" s="5" t="s">
        <v>128</v>
      </c>
      <c r="C180" s="5" t="s">
        <v>75</v>
      </c>
      <c r="D180" s="5">
        <v>0.63461804389953613</v>
      </c>
      <c r="E180" s="5">
        <v>0.4787660539150238</v>
      </c>
      <c r="F180" s="5">
        <v>0.41286516189575201</v>
      </c>
      <c r="G180" s="5">
        <v>0.63461804389953613</v>
      </c>
      <c r="H180" s="5">
        <v>0.48343354463577271</v>
      </c>
      <c r="I180" s="4" t="str">
        <f>VLOOKUP(A180, [1]Sheet2!H$2:I$42, 2, 0)</f>
        <v>Smith et al. (2025)</v>
      </c>
    </row>
    <row r="181" spans="1:9">
      <c r="A181" s="5">
        <v>32</v>
      </c>
      <c r="B181" s="5" t="s">
        <v>129</v>
      </c>
      <c r="C181" s="5" t="s">
        <v>75</v>
      </c>
      <c r="D181" s="5">
        <v>0.55717384815216064</v>
      </c>
      <c r="E181" s="5">
        <v>0.40387645363807678</v>
      </c>
      <c r="F181" s="5">
        <v>0.3545459508895874</v>
      </c>
      <c r="G181" s="5">
        <v>0.55717384815216064</v>
      </c>
      <c r="H181" s="5">
        <v>0.49637466669082642</v>
      </c>
      <c r="I181" s="4" t="str">
        <f>VLOOKUP(A181, [1]Sheet2!H$2:I$42, 2, 0)</f>
        <v>Smith et al. (2025)</v>
      </c>
    </row>
    <row r="182" spans="1:9">
      <c r="A182" s="5">
        <v>33</v>
      </c>
      <c r="B182" s="5" t="s">
        <v>175</v>
      </c>
      <c r="C182" s="5" t="s">
        <v>75</v>
      </c>
      <c r="D182" s="5">
        <v>0.71934032440185547</v>
      </c>
      <c r="E182" s="5">
        <v>0.481545090675354</v>
      </c>
      <c r="F182" s="5">
        <v>0.35747149586677551</v>
      </c>
      <c r="G182" s="5">
        <v>0.71934032440185547</v>
      </c>
      <c r="H182" s="5">
        <v>0.5985342264175415</v>
      </c>
      <c r="I182" s="4" t="str">
        <f>VLOOKUP(A182, [1]Sheet2!H$2:I$42, 2, 0)</f>
        <v>Stolpe &amp; Hallström (2024)</v>
      </c>
    </row>
    <row r="183" spans="1:9">
      <c r="A183" s="5">
        <v>33</v>
      </c>
      <c r="B183" s="5" t="s">
        <v>176</v>
      </c>
      <c r="C183" s="5" t="s">
        <v>75</v>
      </c>
      <c r="D183" s="5">
        <v>0.92183130979537964</v>
      </c>
      <c r="E183" s="5">
        <v>0.4699072539806366</v>
      </c>
      <c r="F183" s="5">
        <v>0.56358665227890015</v>
      </c>
      <c r="G183" s="5">
        <v>0.92183130979537964</v>
      </c>
      <c r="H183" s="5">
        <v>0.66129863262176514</v>
      </c>
      <c r="I183" s="4" t="str">
        <f>VLOOKUP(A183, [1]Sheet2!H$2:I$42, 2, 0)</f>
        <v>Stolpe &amp; Hallström (2024)</v>
      </c>
    </row>
    <row r="184" spans="1:9">
      <c r="A184" s="5">
        <v>34</v>
      </c>
      <c r="B184" s="5" t="s">
        <v>177</v>
      </c>
      <c r="C184" s="5" t="s">
        <v>75</v>
      </c>
      <c r="D184" s="5">
        <v>0.63119632005691528</v>
      </c>
      <c r="E184" s="5">
        <v>0.40007823705673218</v>
      </c>
      <c r="F184" s="5">
        <v>0.46858552098274231</v>
      </c>
      <c r="G184" s="5">
        <v>0.63119632005691528</v>
      </c>
      <c r="H184" s="5">
        <v>0.48012062907218928</v>
      </c>
      <c r="I184" s="4" t="str">
        <f>VLOOKUP(A184, [1]Sheet2!H$2:I$42, 2, 0)</f>
        <v>Tauchnitz &amp; Ahmed (2024)</v>
      </c>
    </row>
    <row r="185" spans="1:9">
      <c r="A185" s="5">
        <v>34</v>
      </c>
      <c r="B185" s="5" t="s">
        <v>178</v>
      </c>
      <c r="C185" s="5" t="s">
        <v>75</v>
      </c>
      <c r="D185" s="5">
        <v>0.55054813623428345</v>
      </c>
      <c r="E185" s="5">
        <v>0.5099722146987915</v>
      </c>
      <c r="F185" s="5">
        <v>0.47512418031692499</v>
      </c>
      <c r="G185" s="5">
        <v>0.55054813623428345</v>
      </c>
      <c r="H185" s="5">
        <v>0.3776145875453949</v>
      </c>
      <c r="I185" s="4" t="str">
        <f>VLOOKUP(A185, [1]Sheet2!H$2:I$42, 2, 0)</f>
        <v>Tauchnitz &amp; Ahmed (2024)</v>
      </c>
    </row>
    <row r="186" spans="1:9">
      <c r="A186" s="5">
        <v>35</v>
      </c>
      <c r="B186" s="5" t="s">
        <v>179</v>
      </c>
      <c r="C186" s="5" t="s">
        <v>75</v>
      </c>
      <c r="D186" s="5">
        <v>0.45398488640785217</v>
      </c>
      <c r="E186" s="5">
        <v>0.45246070623397833</v>
      </c>
      <c r="F186" s="5">
        <v>0.3969539999961853</v>
      </c>
      <c r="G186" s="5">
        <v>0.45398488640785217</v>
      </c>
      <c r="H186" s="5">
        <v>0.41462066769599909</v>
      </c>
      <c r="I186" s="4" t="str">
        <f>VLOOKUP(A186, [1]Sheet2!H$2:I$42, 2, 0)</f>
        <v>Ward et al. (2025)</v>
      </c>
    </row>
    <row r="187" spans="1:9">
      <c r="A187" s="5">
        <v>35</v>
      </c>
      <c r="B187" s="5" t="s">
        <v>180</v>
      </c>
      <c r="C187" s="5" t="s">
        <v>75</v>
      </c>
      <c r="D187" s="5">
        <v>0.4926200807094574</v>
      </c>
      <c r="E187" s="5">
        <v>0.34911495447158808</v>
      </c>
      <c r="F187" s="5">
        <v>0.43902707099914551</v>
      </c>
      <c r="G187" s="5">
        <v>0.4926200807094574</v>
      </c>
      <c r="H187" s="5">
        <v>0.37656036019325262</v>
      </c>
      <c r="I187" s="4" t="str">
        <f>VLOOKUP(A187, [1]Sheet2!H$2:I$42, 2, 0)</f>
        <v>Ward et al. (2025)</v>
      </c>
    </row>
    <row r="188" spans="1:9">
      <c r="A188" s="5">
        <v>35</v>
      </c>
      <c r="B188" s="5" t="s">
        <v>181</v>
      </c>
      <c r="C188" s="5" t="s">
        <v>75</v>
      </c>
      <c r="D188" s="5">
        <v>0.46304503083229059</v>
      </c>
      <c r="E188" s="5">
        <v>0.41066926717758179</v>
      </c>
      <c r="F188" s="5">
        <v>0.37730458378791809</v>
      </c>
      <c r="G188" s="5">
        <v>0.46304503083229059</v>
      </c>
      <c r="H188" s="5">
        <v>0.34399330615997309</v>
      </c>
      <c r="I188" s="4" t="str">
        <f>VLOOKUP(A188, [1]Sheet2!H$2:I$42, 2, 0)</f>
        <v>Ward et al. (2025)</v>
      </c>
    </row>
    <row r="189" spans="1:9">
      <c r="A189" s="5">
        <v>36</v>
      </c>
      <c r="B189" s="5" t="s">
        <v>182</v>
      </c>
      <c r="C189" s="5" t="s">
        <v>75</v>
      </c>
      <c r="D189" s="5">
        <v>0.92299801111221313</v>
      </c>
      <c r="E189" s="5">
        <v>0.51606833934783936</v>
      </c>
      <c r="F189" s="5">
        <v>0.44482088088989258</v>
      </c>
      <c r="G189" s="5">
        <v>0.92299801111221313</v>
      </c>
      <c r="H189" s="5">
        <v>0.84835320711135864</v>
      </c>
      <c r="I189" s="4" t="str">
        <f>VLOOKUP(A189, [1]Sheet2!H$2:I$42, 2, 0)</f>
        <v>Luo et al. (2024)</v>
      </c>
    </row>
    <row r="190" spans="1:9">
      <c r="A190" s="5">
        <v>36</v>
      </c>
      <c r="B190" s="5" t="s">
        <v>183</v>
      </c>
      <c r="C190" s="5" t="s">
        <v>75</v>
      </c>
      <c r="D190" s="5">
        <v>0.47698161005973821</v>
      </c>
      <c r="E190" s="5">
        <v>0.41945865750312811</v>
      </c>
      <c r="F190" s="5">
        <v>0.36515051126480103</v>
      </c>
      <c r="G190" s="5">
        <v>0.47698161005973821</v>
      </c>
      <c r="H190" s="5">
        <v>0.40096369385719299</v>
      </c>
      <c r="I190" s="4" t="str">
        <f>VLOOKUP(A190, [1]Sheet2!H$2:I$42, 2, 0)</f>
        <v>Luo et al. (2024)</v>
      </c>
    </row>
    <row r="191" spans="1:9">
      <c r="A191" s="5">
        <v>36</v>
      </c>
      <c r="B191" s="5" t="s">
        <v>184</v>
      </c>
      <c r="C191" s="5" t="s">
        <v>75</v>
      </c>
      <c r="D191" s="5">
        <v>0.5993729829788208</v>
      </c>
      <c r="E191" s="5">
        <v>0.49229791760444641</v>
      </c>
      <c r="F191" s="5">
        <v>0.52589195966720581</v>
      </c>
      <c r="G191" s="5">
        <v>0.5993729829788208</v>
      </c>
      <c r="H191" s="5">
        <v>0.47902208566665649</v>
      </c>
      <c r="I191" s="4" t="str">
        <f>VLOOKUP(A191, [1]Sheet2!H$2:I$42, 2, 0)</f>
        <v>Luo et al. (2024)</v>
      </c>
    </row>
    <row r="192" spans="1:9">
      <c r="A192" s="5">
        <v>36</v>
      </c>
      <c r="B192" s="5" t="s">
        <v>185</v>
      </c>
      <c r="C192" s="5" t="s">
        <v>75</v>
      </c>
      <c r="D192" s="5">
        <v>0.61593514680862427</v>
      </c>
      <c r="E192" s="5">
        <v>0.49489805102348328</v>
      </c>
      <c r="F192" s="5">
        <v>0.57286930084228516</v>
      </c>
      <c r="G192" s="5">
        <v>0.61593514680862427</v>
      </c>
      <c r="H192" s="5">
        <v>0.37717247009277338</v>
      </c>
      <c r="I192" s="4" t="str">
        <f>VLOOKUP(A192, [1]Sheet2!H$2:I$42, 2, 0)</f>
        <v>Luo et al. (2024)</v>
      </c>
    </row>
    <row r="193" spans="1:9">
      <c r="A193" s="5">
        <v>36</v>
      </c>
      <c r="B193" s="5" t="s">
        <v>186</v>
      </c>
      <c r="C193" s="5" t="s">
        <v>75</v>
      </c>
      <c r="D193" s="5">
        <v>0.71461772918701172</v>
      </c>
      <c r="E193" s="5">
        <v>0.60238665342330933</v>
      </c>
      <c r="F193" s="5">
        <v>0.60172200202941895</v>
      </c>
      <c r="G193" s="5">
        <v>0.71461772918701172</v>
      </c>
      <c r="H193" s="5">
        <v>0.43768098950386047</v>
      </c>
      <c r="I193" s="4" t="str">
        <f>VLOOKUP(A193, [1]Sheet2!H$2:I$42, 2, 0)</f>
        <v>Luo et al. (2024)</v>
      </c>
    </row>
    <row r="194" spans="1:9">
      <c r="A194" s="5">
        <v>36</v>
      </c>
      <c r="B194" s="5" t="s">
        <v>187</v>
      </c>
      <c r="C194" s="5" t="s">
        <v>75</v>
      </c>
      <c r="D194" s="5">
        <v>0.5818522572517395</v>
      </c>
      <c r="E194" s="5">
        <v>0.50840085744857788</v>
      </c>
      <c r="F194" s="5">
        <v>0.45535793900489813</v>
      </c>
      <c r="G194" s="5">
        <v>0.5818522572517395</v>
      </c>
      <c r="H194" s="5">
        <v>0.33690375089645391</v>
      </c>
      <c r="I194" s="4" t="str">
        <f>VLOOKUP(A194, [1]Sheet2!H$2:I$42, 2, 0)</f>
        <v>Luo et al. (2024)</v>
      </c>
    </row>
    <row r="195" spans="1:9">
      <c r="A195" s="5">
        <v>36</v>
      </c>
      <c r="B195" s="5" t="s">
        <v>188</v>
      </c>
      <c r="C195" s="5" t="s">
        <v>75</v>
      </c>
      <c r="D195" s="5">
        <v>0.70562458038330078</v>
      </c>
      <c r="E195" s="5">
        <v>0.57958865165710449</v>
      </c>
      <c r="F195" s="5">
        <v>0.66400182247161865</v>
      </c>
      <c r="G195" s="5">
        <v>0.70562458038330078</v>
      </c>
      <c r="H195" s="5">
        <v>0.42413312196731567</v>
      </c>
      <c r="I195" s="4" t="str">
        <f>VLOOKUP(A195, [1]Sheet2!H$2:I$42, 2, 0)</f>
        <v>Luo et al. (2024)</v>
      </c>
    </row>
    <row r="196" spans="1:9">
      <c r="A196" s="5">
        <v>36</v>
      </c>
      <c r="B196" s="5" t="s">
        <v>189</v>
      </c>
      <c r="C196" s="5" t="s">
        <v>75</v>
      </c>
      <c r="D196" s="5">
        <v>0.73516130447387695</v>
      </c>
      <c r="E196" s="5">
        <v>0.53931063413619995</v>
      </c>
      <c r="F196" s="5">
        <v>0.59775149822235107</v>
      </c>
      <c r="G196" s="5">
        <v>0.73516130447387695</v>
      </c>
      <c r="H196" s="5">
        <v>0.3509756326675415</v>
      </c>
      <c r="I196" s="4" t="str">
        <f>VLOOKUP(A196, [1]Sheet2!H$2:I$42, 2, 0)</f>
        <v>Luo et al. (2024)</v>
      </c>
    </row>
    <row r="197" spans="1:9">
      <c r="A197" s="5">
        <v>36</v>
      </c>
      <c r="B197" s="5" t="s">
        <v>190</v>
      </c>
      <c r="C197" s="5" t="s">
        <v>75</v>
      </c>
      <c r="D197" s="5">
        <v>0.81689399480819702</v>
      </c>
      <c r="E197" s="5">
        <v>0.4947228729724884</v>
      </c>
      <c r="F197" s="5">
        <v>0.55659407377243042</v>
      </c>
      <c r="G197" s="5">
        <v>0.81689399480819702</v>
      </c>
      <c r="H197" s="5">
        <v>0.4939231276512146</v>
      </c>
      <c r="I197" s="4" t="str">
        <f>VLOOKUP(A197, [1]Sheet2!H$2:I$42, 2, 0)</f>
        <v>Luo et al. (2024)</v>
      </c>
    </row>
    <row r="198" spans="1:9">
      <c r="A198" s="5">
        <v>37</v>
      </c>
      <c r="B198" s="5" t="s">
        <v>191</v>
      </c>
      <c r="C198" s="5" t="s">
        <v>75</v>
      </c>
      <c r="D198" s="5">
        <v>0.80641627311706543</v>
      </c>
      <c r="E198" s="5">
        <v>0.67069250345230103</v>
      </c>
      <c r="F198" s="5">
        <v>0.7773284912109375</v>
      </c>
      <c r="G198" s="5">
        <v>0.80641627311706543</v>
      </c>
      <c r="H198" s="5">
        <v>0.41505292057991028</v>
      </c>
      <c r="I198" s="4" t="str">
        <f>VLOOKUP(A198, [1]Sheet2!H$2:I$42, 2, 0)</f>
        <v>Yuan et al. (2024)</v>
      </c>
    </row>
    <row r="199" spans="1:9">
      <c r="A199" s="5">
        <v>37</v>
      </c>
      <c r="B199" s="5" t="s">
        <v>192</v>
      </c>
      <c r="C199" s="5" t="s">
        <v>75</v>
      </c>
      <c r="D199" s="5">
        <v>0.76743531227111816</v>
      </c>
      <c r="E199" s="5">
        <v>0.67294889688491821</v>
      </c>
      <c r="F199" s="5">
        <v>0.69513523578643799</v>
      </c>
      <c r="G199" s="5">
        <v>0.76743531227111816</v>
      </c>
      <c r="H199" s="5">
        <v>0.47764074802398682</v>
      </c>
      <c r="I199" s="4" t="str">
        <f>VLOOKUP(A199, [1]Sheet2!H$2:I$42, 2, 0)</f>
        <v>Yuan et al. (2024)</v>
      </c>
    </row>
    <row r="200" spans="1:9">
      <c r="A200" s="5">
        <v>37</v>
      </c>
      <c r="B200" s="5" t="s">
        <v>193</v>
      </c>
      <c r="C200" s="5" t="s">
        <v>75</v>
      </c>
      <c r="D200" s="5">
        <v>0.53549236059188843</v>
      </c>
      <c r="E200" s="5">
        <v>0.4159683883190155</v>
      </c>
      <c r="F200" s="5">
        <v>0.4346083402633667</v>
      </c>
      <c r="G200" s="5">
        <v>0.53549236059188843</v>
      </c>
      <c r="H200" s="5">
        <v>0.46402198076248169</v>
      </c>
      <c r="I200" s="4" t="str">
        <f>VLOOKUP(A200, [1]Sheet2!H$2:I$42, 2, 0)</f>
        <v>Yuan et al. (2024)</v>
      </c>
    </row>
    <row r="201" spans="1:9">
      <c r="A201" s="5">
        <v>38</v>
      </c>
      <c r="B201" s="5" t="s">
        <v>194</v>
      </c>
      <c r="C201" s="5" t="s">
        <v>75</v>
      </c>
      <c r="D201" s="5">
        <v>0.72324484586715698</v>
      </c>
      <c r="E201" s="5">
        <v>0.70994508266448975</v>
      </c>
      <c r="F201" s="5">
        <v>0.54615271091461182</v>
      </c>
      <c r="G201" s="5">
        <v>0.72324484586715698</v>
      </c>
      <c r="H201" s="5">
        <v>0.70983439683914185</v>
      </c>
      <c r="I201" s="4" t="str">
        <f>VLOOKUP(A201, [1]Sheet2!H$2:I$42, 2, 0)</f>
        <v>Yue et al. (2025)</v>
      </c>
    </row>
    <row r="202" spans="1:9">
      <c r="A202" s="5">
        <v>39</v>
      </c>
      <c r="B202" s="5" t="s">
        <v>195</v>
      </c>
      <c r="C202" s="5" t="s">
        <v>75</v>
      </c>
      <c r="D202" s="5">
        <v>0.74747693538665771</v>
      </c>
      <c r="E202" s="5">
        <v>0.56445515155792236</v>
      </c>
      <c r="F202" s="5">
        <v>0.4872908890247345</v>
      </c>
      <c r="G202" s="5">
        <v>0.74747693538665771</v>
      </c>
      <c r="H202" s="5">
        <v>0.60437047481536865</v>
      </c>
      <c r="I202" s="4" t="str">
        <f>VLOOKUP(A202, [1]Sheet2!H$2:I$42, 2, 0)</f>
        <v>Zhong &amp; Liu (2025)</v>
      </c>
    </row>
    <row r="203" spans="1:9">
      <c r="A203" s="5">
        <v>39</v>
      </c>
      <c r="B203" s="5" t="s">
        <v>196</v>
      </c>
      <c r="C203" s="5" t="s">
        <v>75</v>
      </c>
      <c r="D203" s="5">
        <v>0.77195745706558228</v>
      </c>
      <c r="E203" s="5">
        <v>0.61666297912597656</v>
      </c>
      <c r="F203" s="5">
        <v>0.73215973377227783</v>
      </c>
      <c r="G203" s="5">
        <v>0.77195745706558228</v>
      </c>
      <c r="H203" s="5">
        <v>0.52064192295074463</v>
      </c>
      <c r="I203" s="4" t="str">
        <f>VLOOKUP(A203, [1]Sheet2!H$2:I$42, 2, 0)</f>
        <v>Zhong &amp; Liu (2025)</v>
      </c>
    </row>
    <row r="204" spans="1:9">
      <c r="A204" s="5">
        <v>39</v>
      </c>
      <c r="B204" s="5" t="s">
        <v>197</v>
      </c>
      <c r="C204" s="5" t="s">
        <v>75</v>
      </c>
      <c r="D204" s="5">
        <v>0.79587090015411377</v>
      </c>
      <c r="E204" s="5">
        <v>0.63416498899459839</v>
      </c>
      <c r="F204" s="5">
        <v>0.7362055778503418</v>
      </c>
      <c r="G204" s="5">
        <v>0.79587090015411377</v>
      </c>
      <c r="H204" s="5">
        <v>0.48944079875946039</v>
      </c>
      <c r="I204" s="4" t="str">
        <f>VLOOKUP(A204, [1]Sheet2!H$2:I$42, 2, 0)</f>
        <v>Zhong &amp; Liu (2025)</v>
      </c>
    </row>
    <row r="205" spans="1:9">
      <c r="A205" s="5">
        <v>39</v>
      </c>
      <c r="B205" s="5" t="s">
        <v>198</v>
      </c>
      <c r="C205" s="5" t="s">
        <v>75</v>
      </c>
      <c r="D205" s="5">
        <v>0.67967289686203003</v>
      </c>
      <c r="E205" s="5">
        <v>0.65727436542510986</v>
      </c>
      <c r="F205" s="5">
        <v>0.56882375478744507</v>
      </c>
      <c r="G205" s="5">
        <v>0.67967289686203003</v>
      </c>
      <c r="H205" s="5">
        <v>0.41670623421669012</v>
      </c>
      <c r="I205" s="4" t="str">
        <f>VLOOKUP(A205, [1]Sheet2!H$2:I$42, 2, 0)</f>
        <v>Zhong &amp; Liu (2025)</v>
      </c>
    </row>
    <row r="206" spans="1:9">
      <c r="A206" s="5">
        <v>39</v>
      </c>
      <c r="B206" s="5" t="s">
        <v>199</v>
      </c>
      <c r="C206" s="5" t="s">
        <v>75</v>
      </c>
      <c r="D206" s="5">
        <v>0.68888038396835327</v>
      </c>
      <c r="E206" s="5">
        <v>0.61806923151016235</v>
      </c>
      <c r="F206" s="5">
        <v>0.63075709342956543</v>
      </c>
      <c r="G206" s="5">
        <v>0.68888038396835327</v>
      </c>
      <c r="H206" s="5">
        <v>0.53004419803619385</v>
      </c>
      <c r="I206" s="4" t="str">
        <f>VLOOKUP(A206, [1]Sheet2!H$2:I$42, 2, 0)</f>
        <v>Zhong &amp; Liu (2025)</v>
      </c>
    </row>
    <row r="207" spans="1:9">
      <c r="A207" s="5">
        <v>39</v>
      </c>
      <c r="B207" s="5" t="s">
        <v>200</v>
      </c>
      <c r="C207" s="5" t="s">
        <v>75</v>
      </c>
      <c r="D207" s="5">
        <v>0.65258312225341797</v>
      </c>
      <c r="E207" s="5">
        <v>0.39536398649215698</v>
      </c>
      <c r="F207" s="5">
        <v>0.48921817541122442</v>
      </c>
      <c r="G207" s="5">
        <v>0.65258312225341797</v>
      </c>
      <c r="H207" s="5">
        <v>0.49362802505493159</v>
      </c>
      <c r="I207" s="4" t="str">
        <f>VLOOKUP(A207, [1]Sheet2!H$2:I$42, 2, 0)</f>
        <v>Zhong &amp; Liu (2025)</v>
      </c>
    </row>
    <row r="208" spans="1:9">
      <c r="A208" s="5">
        <v>40</v>
      </c>
      <c r="B208" s="5" t="s">
        <v>85</v>
      </c>
      <c r="C208" s="5" t="s">
        <v>75</v>
      </c>
      <c r="D208" s="5">
        <v>0.68128973245620728</v>
      </c>
      <c r="E208" s="5">
        <v>0.53090882301330566</v>
      </c>
      <c r="F208" s="5">
        <v>0.4869881272315979</v>
      </c>
      <c r="G208" s="5">
        <v>0.68128973245620728</v>
      </c>
      <c r="H208" s="5">
        <v>0.45501434803009028</v>
      </c>
      <c r="I208" s="4" t="str">
        <f>VLOOKUP(A208, [1]Sheet2!H$2:I$42, 2, 0)</f>
        <v>Zipf et al. (2025)</v>
      </c>
    </row>
    <row r="209" spans="1:9">
      <c r="A209" s="5">
        <v>40</v>
      </c>
      <c r="B209" s="5" t="s">
        <v>201</v>
      </c>
      <c r="C209" s="5" t="s">
        <v>75</v>
      </c>
      <c r="D209" s="5">
        <v>0.76411187648773193</v>
      </c>
      <c r="E209" s="5">
        <v>0.57575881481170654</v>
      </c>
      <c r="F209" s="5">
        <v>0.54598492383956909</v>
      </c>
      <c r="G209" s="5">
        <v>0.76411187648773193</v>
      </c>
      <c r="H209" s="5">
        <v>0.76229715347290039</v>
      </c>
      <c r="I209" s="4" t="str">
        <f>VLOOKUP(A209, [1]Sheet2!H$2:I$42, 2, 0)</f>
        <v>Zipf et al. (2025)</v>
      </c>
    </row>
    <row r="210" spans="1:9">
      <c r="A210" s="5">
        <v>40</v>
      </c>
      <c r="B210" s="5" t="s">
        <v>202</v>
      </c>
      <c r="C210" s="5" t="s">
        <v>75</v>
      </c>
      <c r="D210" s="5">
        <v>0.67446625232696533</v>
      </c>
      <c r="E210" s="5">
        <v>0.44211587309837341</v>
      </c>
      <c r="F210" s="5">
        <v>0.4378008246421814</v>
      </c>
      <c r="G210" s="5">
        <v>0.67446625232696533</v>
      </c>
      <c r="H210" s="5">
        <v>0.44806367158889771</v>
      </c>
      <c r="I210" s="4" t="str">
        <f>VLOOKUP(A210, [1]Sheet2!H$2:I$42, 2, 0)</f>
        <v>Zipf et al. (2025)</v>
      </c>
    </row>
    <row r="211" spans="1:9">
      <c r="A211" s="5">
        <v>0</v>
      </c>
      <c r="B211" s="5" t="s">
        <v>203</v>
      </c>
      <c r="C211" s="5" t="s">
        <v>204</v>
      </c>
      <c r="D211" s="5">
        <v>0.97080117464065552</v>
      </c>
      <c r="E211" s="5">
        <v>0.58032572269439697</v>
      </c>
      <c r="F211" s="5">
        <v>0.54299986362457275</v>
      </c>
      <c r="G211" s="5">
        <v>0.49413809180259699</v>
      </c>
      <c r="H211" s="5">
        <v>0.97080117464065552</v>
      </c>
      <c r="I211" s="4" t="str">
        <f>VLOOKUP(A211, [1]Sheet2!H$2:I$42, 2, 0)</f>
        <v>Allen &amp; Kendeou (2024).</v>
      </c>
    </row>
    <row r="212" spans="1:9">
      <c r="A212" s="5">
        <v>1</v>
      </c>
      <c r="B212" s="5" t="s">
        <v>205</v>
      </c>
      <c r="C212" s="5" t="s">
        <v>204</v>
      </c>
      <c r="D212" s="5">
        <v>0.74408048391342163</v>
      </c>
      <c r="E212" s="5">
        <v>0.43206387758254999</v>
      </c>
      <c r="F212" s="5">
        <v>0.49591922760009771</v>
      </c>
      <c r="G212" s="5">
        <v>0.39856645464897161</v>
      </c>
      <c r="H212" s="5">
        <v>0.74408048391342163</v>
      </c>
      <c r="I212" s="4" t="str">
        <f>VLOOKUP(A212, [1]Sheet2!H$2:I$42, 2, 0)</f>
        <v>Almatrafi, et al. (2024).</v>
      </c>
    </row>
    <row r="213" spans="1:9">
      <c r="A213" s="5">
        <v>2</v>
      </c>
      <c r="B213" s="5" t="s">
        <v>206</v>
      </c>
      <c r="C213" s="5" t="s">
        <v>204</v>
      </c>
      <c r="D213" s="5">
        <v>0.81928372383117676</v>
      </c>
      <c r="E213" s="5">
        <v>0.55198556184768677</v>
      </c>
      <c r="F213" s="5">
        <v>0.52005094289779663</v>
      </c>
      <c r="G213" s="5">
        <v>0.57948851585388184</v>
      </c>
      <c r="H213" s="5">
        <v>0.81928372383117676</v>
      </c>
      <c r="I213" s="4" t="str">
        <f>VLOOKUP(A213, [1]Sheet2!H$2:I$42, 2, 0)</f>
        <v>Barber et al. (2024)</v>
      </c>
    </row>
    <row r="214" spans="1:9">
      <c r="A214" s="5">
        <v>3</v>
      </c>
      <c r="B214" s="5" t="s">
        <v>207</v>
      </c>
      <c r="C214" s="5" t="s">
        <v>204</v>
      </c>
      <c r="D214" s="5">
        <v>0.69440019130706787</v>
      </c>
      <c r="E214" s="5">
        <v>0.5342177152633667</v>
      </c>
      <c r="F214" s="5">
        <v>0.57709348201751709</v>
      </c>
      <c r="G214" s="5">
        <v>0.5745474100112915</v>
      </c>
      <c r="H214" s="5">
        <v>0.69440019130706787</v>
      </c>
      <c r="I214" s="4" t="str">
        <f>VLOOKUP(A214, [1]Sheet2!H$2:I$42, 2, 0)</f>
        <v>Brünner et al. (2025)</v>
      </c>
    </row>
    <row r="215" spans="1:9">
      <c r="A215" s="5">
        <v>5</v>
      </c>
      <c r="B215" s="5" t="s">
        <v>208</v>
      </c>
      <c r="C215" s="5" t="s">
        <v>204</v>
      </c>
      <c r="D215" s="5">
        <v>0.75327080488204956</v>
      </c>
      <c r="E215" s="5">
        <v>0.69756686687469482</v>
      </c>
      <c r="F215" s="5">
        <v>0.52798014879226685</v>
      </c>
      <c r="G215" s="5">
        <v>0.68228828907012939</v>
      </c>
      <c r="H215" s="5">
        <v>0.75327080488204956</v>
      </c>
      <c r="I215" s="4" t="str">
        <f>VLOOKUP(A215, [1]Sheet2!H$2:I$42, 2, 0)</f>
        <v>Celik(2023)</v>
      </c>
    </row>
    <row r="216" spans="1:9">
      <c r="A216" s="5">
        <v>5</v>
      </c>
      <c r="B216" s="5" t="s">
        <v>203</v>
      </c>
      <c r="C216" s="5" t="s">
        <v>204</v>
      </c>
      <c r="D216" s="5">
        <v>0.97080117464065552</v>
      </c>
      <c r="E216" s="5">
        <v>0.58032572269439697</v>
      </c>
      <c r="F216" s="5">
        <v>0.54299986362457275</v>
      </c>
      <c r="G216" s="5">
        <v>0.49413809180259699</v>
      </c>
      <c r="H216" s="5">
        <v>0.97080117464065552</v>
      </c>
      <c r="I216" s="4" t="str">
        <f>VLOOKUP(A216, [1]Sheet2!H$2:I$42, 2, 0)</f>
        <v>Celik(2023)</v>
      </c>
    </row>
    <row r="217" spans="1:9">
      <c r="A217" s="5">
        <v>6</v>
      </c>
      <c r="B217" s="5" t="s">
        <v>209</v>
      </c>
      <c r="C217" s="5" t="s">
        <v>204</v>
      </c>
      <c r="D217" s="5">
        <v>0.66680145263671875</v>
      </c>
      <c r="E217" s="5">
        <v>0.53596442937850952</v>
      </c>
      <c r="F217" s="5">
        <v>0.53033739328384399</v>
      </c>
      <c r="G217" s="5">
        <v>0.66639155149459839</v>
      </c>
      <c r="H217" s="5">
        <v>0.66680145263671875</v>
      </c>
      <c r="I217" s="4" t="str">
        <f>VLOOKUP(A217, [1]Sheet2!H$2:I$42, 2, 0)</f>
        <v>Černý. (2024)</v>
      </c>
    </row>
    <row r="218" spans="1:9">
      <c r="A218" s="5">
        <v>6</v>
      </c>
      <c r="B218" s="5" t="s">
        <v>210</v>
      </c>
      <c r="C218" s="5" t="s">
        <v>204</v>
      </c>
      <c r="D218" s="5">
        <v>0.94822525978088379</v>
      </c>
      <c r="E218" s="5">
        <v>0.57990342378616333</v>
      </c>
      <c r="F218" s="5">
        <v>0.57294386625289917</v>
      </c>
      <c r="G218" s="5">
        <v>0.48216879367828369</v>
      </c>
      <c r="H218" s="5">
        <v>0.94822525978088379</v>
      </c>
      <c r="I218" s="4" t="str">
        <f>VLOOKUP(A218, [1]Sheet2!H$2:I$42, 2, 0)</f>
        <v>Černý. (2024)</v>
      </c>
    </row>
    <row r="219" spans="1:9">
      <c r="A219" s="5">
        <v>6</v>
      </c>
      <c r="B219" s="5" t="s">
        <v>211</v>
      </c>
      <c r="C219" s="5" t="s">
        <v>204</v>
      </c>
      <c r="D219" s="5">
        <v>0.54291516542434692</v>
      </c>
      <c r="E219" s="5">
        <v>0.38181546330451971</v>
      </c>
      <c r="F219" s="5">
        <v>0.46397536993026728</v>
      </c>
      <c r="G219" s="5">
        <v>0.4467008113861084</v>
      </c>
      <c r="H219" s="5">
        <v>0.54291516542434692</v>
      </c>
      <c r="I219" s="4" t="str">
        <f>VLOOKUP(A219, [1]Sheet2!H$2:I$42, 2, 0)</f>
        <v>Černý. (2024)</v>
      </c>
    </row>
    <row r="220" spans="1:9">
      <c r="A220" s="5">
        <v>7</v>
      </c>
      <c r="B220" s="5" t="s">
        <v>212</v>
      </c>
      <c r="C220" s="5" t="s">
        <v>204</v>
      </c>
      <c r="D220" s="5">
        <v>0.96432828903198242</v>
      </c>
      <c r="E220" s="5">
        <v>0.56287574768066406</v>
      </c>
      <c r="F220" s="5">
        <v>0.5265192985534668</v>
      </c>
      <c r="G220" s="5">
        <v>0.50797373056411743</v>
      </c>
      <c r="H220" s="5">
        <v>0.96432828903198242</v>
      </c>
      <c r="I220" s="4" t="str">
        <f>VLOOKUP(A220, [1]Sheet2!H$2:I$42, 2, 0)</f>
        <v>Chee et al. (2025)</v>
      </c>
    </row>
    <row r="221" spans="1:9">
      <c r="A221" s="5">
        <v>8</v>
      </c>
      <c r="B221" s="5" t="s">
        <v>213</v>
      </c>
      <c r="C221" s="5" t="s">
        <v>204</v>
      </c>
      <c r="D221" s="5">
        <v>0.82348752021789551</v>
      </c>
      <c r="E221" s="5">
        <v>0.52656418085098267</v>
      </c>
      <c r="F221" s="5">
        <v>0.46783006191253662</v>
      </c>
      <c r="G221" s="5">
        <v>0.77076339721679688</v>
      </c>
      <c r="H221" s="5">
        <v>0.82348752021789551</v>
      </c>
      <c r="I221" s="4" t="str">
        <f>VLOOKUP(A221, [1]Sheet2!H$2:I$42, 2, 0)</f>
        <v>Chiu et al. (2024)</v>
      </c>
    </row>
    <row r="222" spans="1:9">
      <c r="A222" s="5">
        <v>8</v>
      </c>
      <c r="B222" s="5" t="s">
        <v>203</v>
      </c>
      <c r="C222" s="5" t="s">
        <v>204</v>
      </c>
      <c r="D222" s="5">
        <v>0.97080117464065552</v>
      </c>
      <c r="E222" s="5">
        <v>0.58032572269439697</v>
      </c>
      <c r="F222" s="5">
        <v>0.54299986362457275</v>
      </c>
      <c r="G222" s="5">
        <v>0.49413809180259699</v>
      </c>
      <c r="H222" s="5">
        <v>0.97080117464065552</v>
      </c>
      <c r="I222" s="4" t="str">
        <f>VLOOKUP(A222, [1]Sheet2!H$2:I$42, 2, 0)</f>
        <v>Chiu et al. (2024)</v>
      </c>
    </row>
    <row r="223" spans="1:9">
      <c r="A223" s="5">
        <v>9</v>
      </c>
      <c r="B223" s="5" t="s">
        <v>214</v>
      </c>
      <c r="C223" s="5" t="s">
        <v>204</v>
      </c>
      <c r="D223" s="5">
        <v>1</v>
      </c>
      <c r="E223" s="5">
        <v>0.56172263622283936</v>
      </c>
      <c r="F223" s="5">
        <v>0.55277442932128906</v>
      </c>
      <c r="G223" s="5">
        <v>0.47541773319244379</v>
      </c>
      <c r="H223" s="5">
        <v>1</v>
      </c>
      <c r="I223" s="4" t="str">
        <f>VLOOKUP(A223, [1]Sheet2!H$2:I$42, 2, 0)</f>
        <v>Choi(2025)</v>
      </c>
    </row>
    <row r="224" spans="1:9">
      <c r="A224" s="5">
        <v>13</v>
      </c>
      <c r="B224" s="5" t="s">
        <v>215</v>
      </c>
      <c r="C224" s="5" t="s">
        <v>204</v>
      </c>
      <c r="D224" s="5">
        <v>0.7796320915222168</v>
      </c>
      <c r="E224" s="5">
        <v>0.57468211650848389</v>
      </c>
      <c r="F224" s="5">
        <v>0.42180684208869929</v>
      </c>
      <c r="G224" s="5">
        <v>0.42977592349052429</v>
      </c>
      <c r="H224" s="5">
        <v>0.7796320915222168</v>
      </c>
      <c r="I224" s="4" t="str">
        <f>VLOOKUP(A224, [1]Sheet2!H$2:I$42, 2, 0)</f>
        <v>Ferhataj et al. (2025)</v>
      </c>
    </row>
    <row r="225" spans="1:9">
      <c r="A225" s="5">
        <v>13</v>
      </c>
      <c r="B225" s="5" t="s">
        <v>216</v>
      </c>
      <c r="C225" s="5" t="s">
        <v>204</v>
      </c>
      <c r="D225" s="5">
        <v>0.60340940952301025</v>
      </c>
      <c r="E225" s="5">
        <v>0.59489339590072632</v>
      </c>
      <c r="F225" s="5">
        <v>0.41901916265487671</v>
      </c>
      <c r="G225" s="5">
        <v>0.45379281044006348</v>
      </c>
      <c r="H225" s="5">
        <v>0.60340940952301025</v>
      </c>
      <c r="I225" s="4" t="str">
        <f>VLOOKUP(A225, [1]Sheet2!H$2:I$42, 2, 0)</f>
        <v>Ferhataj et al. (2025)</v>
      </c>
    </row>
    <row r="226" spans="1:9">
      <c r="A226" s="5">
        <v>13</v>
      </c>
      <c r="B226" s="5" t="s">
        <v>217</v>
      </c>
      <c r="C226" s="5" t="s">
        <v>204</v>
      </c>
      <c r="D226" s="5">
        <v>0.52518606185913086</v>
      </c>
      <c r="E226" s="5">
        <v>0.50846183300018311</v>
      </c>
      <c r="F226" s="5">
        <v>0.46885049343109131</v>
      </c>
      <c r="G226" s="5">
        <v>0.45144671201705933</v>
      </c>
      <c r="H226" s="5">
        <v>0.52518606185913086</v>
      </c>
      <c r="I226" s="4" t="str">
        <f>VLOOKUP(A226, [1]Sheet2!H$2:I$42, 2, 0)</f>
        <v>Ferhataj et al. (2025)</v>
      </c>
    </row>
    <row r="227" spans="1:9">
      <c r="A227" s="5">
        <v>15</v>
      </c>
      <c r="B227" s="5" t="s">
        <v>218</v>
      </c>
      <c r="C227" s="5" t="s">
        <v>204</v>
      </c>
      <c r="D227" s="5">
        <v>0.67423218488693237</v>
      </c>
      <c r="E227" s="5">
        <v>0.39131441712379461</v>
      </c>
      <c r="F227" s="5">
        <v>0.35450863838195801</v>
      </c>
      <c r="G227" s="5">
        <v>0.49468493461608892</v>
      </c>
      <c r="H227" s="5">
        <v>0.67423218488693237</v>
      </c>
      <c r="I227" s="4" t="str">
        <f>VLOOKUP(A227, [1]Sheet2!H$2:I$42, 2, 0)</f>
        <v>Henry et al. (2021)</v>
      </c>
    </row>
    <row r="228" spans="1:9">
      <c r="A228" s="5">
        <v>17</v>
      </c>
      <c r="B228" s="5" t="s">
        <v>219</v>
      </c>
      <c r="C228" s="5" t="s">
        <v>204</v>
      </c>
      <c r="D228" s="5">
        <v>0.73229438066482544</v>
      </c>
      <c r="E228" s="5">
        <v>0.58324348926544189</v>
      </c>
      <c r="F228" s="5">
        <v>0.40823662281036383</v>
      </c>
      <c r="G228" s="5">
        <v>0.4369637668132782</v>
      </c>
      <c r="H228" s="5">
        <v>0.73229438066482544</v>
      </c>
      <c r="I228" s="4" t="str">
        <f>VLOOKUP(A228, [1]Sheet2!H$2:I$42, 2, 0)</f>
        <v>Knoth et al. (2024)</v>
      </c>
    </row>
    <row r="229" spans="1:9">
      <c r="A229" s="5">
        <v>19</v>
      </c>
      <c r="B229" s="5" t="s">
        <v>220</v>
      </c>
      <c r="C229" s="5" t="s">
        <v>204</v>
      </c>
      <c r="D229" s="5">
        <v>0.53290349245071411</v>
      </c>
      <c r="E229" s="5">
        <v>0.35657522082328802</v>
      </c>
      <c r="F229" s="5">
        <v>0.42925721406936651</v>
      </c>
      <c r="G229" s="5">
        <v>0.45308417081832891</v>
      </c>
      <c r="H229" s="5">
        <v>0.53290349245071411</v>
      </c>
      <c r="I229" s="4" t="str">
        <f>VLOOKUP(A229, [1]Sheet2!H$2:I$42, 2, 0)</f>
        <v>Long &amp; Magerko (2020)</v>
      </c>
    </row>
    <row r="230" spans="1:9">
      <c r="A230" s="5">
        <v>19</v>
      </c>
      <c r="B230" s="5" t="s">
        <v>203</v>
      </c>
      <c r="C230" s="5" t="s">
        <v>204</v>
      </c>
      <c r="D230" s="5">
        <v>0.97080117464065552</v>
      </c>
      <c r="E230" s="5">
        <v>0.58032572269439697</v>
      </c>
      <c r="F230" s="5">
        <v>0.54299986362457275</v>
      </c>
      <c r="G230" s="5">
        <v>0.49413809180259699</v>
      </c>
      <c r="H230" s="5">
        <v>0.97080117464065552</v>
      </c>
      <c r="I230" s="4" t="str">
        <f>VLOOKUP(A230, [1]Sheet2!H$2:I$42, 2, 0)</f>
        <v>Long &amp; Magerko (2020)</v>
      </c>
    </row>
    <row r="231" spans="1:9">
      <c r="A231" s="5">
        <v>20</v>
      </c>
      <c r="B231" s="5" t="s">
        <v>221</v>
      </c>
      <c r="C231" s="5" t="s">
        <v>204</v>
      </c>
      <c r="D231" s="5">
        <v>0.4182659387588501</v>
      </c>
      <c r="E231" s="5">
        <v>0.38089165091514587</v>
      </c>
      <c r="F231" s="5">
        <v>0.38276663422584528</v>
      </c>
      <c r="G231" s="5">
        <v>0.36667042970657349</v>
      </c>
      <c r="H231" s="5">
        <v>0.4182659387588501</v>
      </c>
      <c r="I231" s="4" t="str">
        <f>VLOOKUP(A231, [1]Sheet2!H$2:I$42, 2, 0)</f>
        <v>Markham &amp; Pronzato (2024)</v>
      </c>
    </row>
    <row r="232" spans="1:9">
      <c r="A232" s="5">
        <v>22</v>
      </c>
      <c r="B232" s="5" t="s">
        <v>222</v>
      </c>
      <c r="C232" s="5" t="s">
        <v>204</v>
      </c>
      <c r="D232" s="5">
        <v>0.44565272331237787</v>
      </c>
      <c r="E232" s="5">
        <v>0.40536996722221369</v>
      </c>
      <c r="F232" s="5">
        <v>0.42288115620613098</v>
      </c>
      <c r="G232" s="5">
        <v>0.43020999431610107</v>
      </c>
      <c r="H232" s="5">
        <v>0.44565272331237787</v>
      </c>
      <c r="I232" s="4" t="str">
        <f>VLOOKUP(A232, [1]Sheet2!H$2:I$42, 2, 0)</f>
        <v>Newman-Griffis(2025)</v>
      </c>
    </row>
    <row r="233" spans="1:9">
      <c r="A233" s="5">
        <v>23</v>
      </c>
      <c r="B233" s="5" t="s">
        <v>223</v>
      </c>
      <c r="C233" s="5" t="s">
        <v>204</v>
      </c>
      <c r="D233" s="5">
        <v>0.86108887195587158</v>
      </c>
      <c r="E233" s="5">
        <v>0.44904470443725591</v>
      </c>
      <c r="F233" s="5">
        <v>0.59668582677841187</v>
      </c>
      <c r="G233" s="5">
        <v>0.47636634111404419</v>
      </c>
      <c r="H233" s="5">
        <v>0.86108887195587158</v>
      </c>
      <c r="I233" s="4" t="str">
        <f>VLOOKUP(A233, [1]Sheet2!H$2:I$42, 2, 0)</f>
        <v>Ng et al. (2024)</v>
      </c>
    </row>
    <row r="234" spans="1:9">
      <c r="A234" s="5">
        <v>24</v>
      </c>
      <c r="B234" s="5" t="s">
        <v>223</v>
      </c>
      <c r="C234" s="5" t="s">
        <v>204</v>
      </c>
      <c r="D234" s="5">
        <v>0.86108887195587158</v>
      </c>
      <c r="E234" s="5">
        <v>0.44904470443725591</v>
      </c>
      <c r="F234" s="5">
        <v>0.59668582677841187</v>
      </c>
      <c r="G234" s="5">
        <v>0.47636634111404419</v>
      </c>
      <c r="H234" s="5">
        <v>0.86108887195587158</v>
      </c>
      <c r="I234" s="4" t="str">
        <f>VLOOKUP(A234, [1]Sheet2!H$2:I$42, 2, 0)</f>
        <v>Ng et al. (2023)</v>
      </c>
    </row>
    <row r="235" spans="1:9">
      <c r="A235" s="5">
        <v>25</v>
      </c>
      <c r="B235" s="5" t="s">
        <v>224</v>
      </c>
      <c r="C235" s="5" t="s">
        <v>204</v>
      </c>
      <c r="D235" s="5">
        <v>0.53103184700012207</v>
      </c>
      <c r="E235" s="5">
        <v>0.42422878742218018</v>
      </c>
      <c r="F235" s="5">
        <v>0.42311754822731018</v>
      </c>
      <c r="G235" s="5">
        <v>0.51244789361953735</v>
      </c>
      <c r="H235" s="5">
        <v>0.53103184700012207</v>
      </c>
      <c r="I235" s="4" t="str">
        <f>VLOOKUP(A235, [1]Sheet2!H$2:I$42, 2, 0)</f>
        <v>Ngo, &amp; Hastie (2025)</v>
      </c>
    </row>
    <row r="236" spans="1:9">
      <c r="A236" s="5">
        <v>25</v>
      </c>
      <c r="B236" s="5" t="s">
        <v>225</v>
      </c>
      <c r="C236" s="5" t="s">
        <v>204</v>
      </c>
      <c r="D236" s="5">
        <v>0.51664268970489502</v>
      </c>
      <c r="E236" s="5">
        <v>0.3285524845123291</v>
      </c>
      <c r="F236" s="5">
        <v>0.33279398083686829</v>
      </c>
      <c r="G236" s="5">
        <v>0.47934308648109442</v>
      </c>
      <c r="H236" s="5">
        <v>0.51664268970489502</v>
      </c>
      <c r="I236" s="4" t="str">
        <f>VLOOKUP(A236, [1]Sheet2!H$2:I$42, 2, 0)</f>
        <v>Ngo, &amp; Hastie (2025)</v>
      </c>
    </row>
    <row r="237" spans="1:9">
      <c r="A237" s="5">
        <v>25</v>
      </c>
      <c r="B237" s="5" t="s">
        <v>226</v>
      </c>
      <c r="C237" s="5" t="s">
        <v>204</v>
      </c>
      <c r="D237" s="5">
        <v>0.88811719417572021</v>
      </c>
      <c r="E237" s="5">
        <v>0.50792157649993896</v>
      </c>
      <c r="F237" s="5">
        <v>0.4871845543384552</v>
      </c>
      <c r="G237" s="5">
        <v>0.39178508520126343</v>
      </c>
      <c r="H237" s="5">
        <v>0.88811719417572021</v>
      </c>
      <c r="I237" s="4" t="str">
        <f>VLOOKUP(A237, [1]Sheet2!H$2:I$42, 2, 0)</f>
        <v>Ngo, &amp; Hastie (2025)</v>
      </c>
    </row>
    <row r="238" spans="1:9">
      <c r="A238" s="5">
        <v>26</v>
      </c>
      <c r="B238" s="5" t="s">
        <v>227</v>
      </c>
      <c r="C238" s="5" t="s">
        <v>204</v>
      </c>
      <c r="D238" s="5">
        <v>0.57755041122436523</v>
      </c>
      <c r="E238" s="5">
        <v>0.52358412742614746</v>
      </c>
      <c r="F238" s="5">
        <v>0.5220714807510376</v>
      </c>
      <c r="G238" s="5">
        <v>0.52113974094390869</v>
      </c>
      <c r="H238" s="5">
        <v>0.57755041122436523</v>
      </c>
      <c r="I238" s="4" t="str">
        <f>VLOOKUP(A238, [1]Sheet2!H$2:I$42, 2, 0)</f>
        <v>Okada et al. (2025)</v>
      </c>
    </row>
    <row r="239" spans="1:9">
      <c r="A239" s="5">
        <v>26</v>
      </c>
      <c r="B239" s="5" t="s">
        <v>228</v>
      </c>
      <c r="C239" s="5" t="s">
        <v>204</v>
      </c>
      <c r="D239" s="5">
        <v>0.40944099426269531</v>
      </c>
      <c r="E239" s="5">
        <v>0.40576076507568359</v>
      </c>
      <c r="F239" s="5">
        <v>0.32566195726394648</v>
      </c>
      <c r="G239" s="5">
        <v>0.40444466471672058</v>
      </c>
      <c r="H239" s="5">
        <v>0.40944099426269531</v>
      </c>
      <c r="I239" s="4" t="str">
        <f>VLOOKUP(A239, [1]Sheet2!H$2:I$42, 2, 0)</f>
        <v>Okada et al. (2025)</v>
      </c>
    </row>
    <row r="240" spans="1:9">
      <c r="A240" s="5">
        <v>26</v>
      </c>
      <c r="B240" s="5" t="s">
        <v>229</v>
      </c>
      <c r="C240" s="5" t="s">
        <v>204</v>
      </c>
      <c r="D240" s="5">
        <v>0.44828557968139648</v>
      </c>
      <c r="E240" s="5">
        <v>0.32754379510879522</v>
      </c>
      <c r="F240" s="5">
        <v>0.2977670431137085</v>
      </c>
      <c r="G240" s="5">
        <v>0.36980977654457092</v>
      </c>
      <c r="H240" s="5">
        <v>0.44828557968139648</v>
      </c>
      <c r="I240" s="4" t="str">
        <f>VLOOKUP(A240, [1]Sheet2!H$2:I$42, 2, 0)</f>
        <v>Okada et al. (2025)</v>
      </c>
    </row>
    <row r="241" spans="1:9">
      <c r="A241" s="5">
        <v>27</v>
      </c>
      <c r="B241" s="5" t="s">
        <v>230</v>
      </c>
      <c r="C241" s="5" t="s">
        <v>204</v>
      </c>
      <c r="D241" s="5">
        <v>0.49722832441329962</v>
      </c>
      <c r="E241" s="5">
        <v>0.41436237096786499</v>
      </c>
      <c r="F241" s="5">
        <v>0.32644951343536383</v>
      </c>
      <c r="G241" s="5">
        <v>0.41672417521476751</v>
      </c>
      <c r="H241" s="5">
        <v>0.49722832441329962</v>
      </c>
      <c r="I241" s="4" t="str">
        <f>VLOOKUP(A241, [1]Sheet2!H$2:I$42, 2, 0)</f>
        <v>Olari &amp; Romeike (2021)</v>
      </c>
    </row>
    <row r="242" spans="1:9">
      <c r="A242" s="5">
        <v>27</v>
      </c>
      <c r="B242" s="5" t="s">
        <v>231</v>
      </c>
      <c r="C242" s="5" t="s">
        <v>204</v>
      </c>
      <c r="D242" s="5">
        <v>0.65479731559753418</v>
      </c>
      <c r="E242" s="5">
        <v>0.48463606834411621</v>
      </c>
      <c r="F242" s="5">
        <v>0.57674473524093628</v>
      </c>
      <c r="G242" s="5">
        <v>0.5440441370010376</v>
      </c>
      <c r="H242" s="5">
        <v>0.65479731559753418</v>
      </c>
      <c r="I242" s="4" t="str">
        <f>VLOOKUP(A242, [1]Sheet2!H$2:I$42, 2, 0)</f>
        <v>Olari &amp; Romeike (2021)</v>
      </c>
    </row>
    <row r="243" spans="1:9">
      <c r="A243" s="5">
        <v>28</v>
      </c>
      <c r="B243" s="5" t="s">
        <v>232</v>
      </c>
      <c r="C243" s="5" t="s">
        <v>204</v>
      </c>
      <c r="D243" s="5">
        <v>0.70102858543395996</v>
      </c>
      <c r="E243" s="5">
        <v>0.6349109411239624</v>
      </c>
      <c r="F243" s="5">
        <v>0.6561247706413269</v>
      </c>
      <c r="G243" s="5">
        <v>0.6175878643989563</v>
      </c>
      <c r="H243" s="5">
        <v>0.70102858543395996</v>
      </c>
      <c r="I243" s="4" t="str">
        <f>VLOOKUP(A243, [1]Sheet2!H$2:I$42, 2, 0)</f>
        <v>Palmquist et al. (2025)</v>
      </c>
    </row>
    <row r="244" spans="1:9">
      <c r="A244" s="5">
        <v>28</v>
      </c>
      <c r="B244" s="5" t="s">
        <v>233</v>
      </c>
      <c r="C244" s="5" t="s">
        <v>204</v>
      </c>
      <c r="D244" s="5">
        <v>0.80220431089401245</v>
      </c>
      <c r="E244" s="5">
        <v>0.52667951583862305</v>
      </c>
      <c r="F244" s="5">
        <v>0.58864486217498779</v>
      </c>
      <c r="G244" s="5">
        <v>0.41654551029205322</v>
      </c>
      <c r="H244" s="5">
        <v>0.80220431089401245</v>
      </c>
      <c r="I244" s="4" t="str">
        <f>VLOOKUP(A244, [1]Sheet2!H$2:I$42, 2, 0)</f>
        <v>Palmquist et al. (2025)</v>
      </c>
    </row>
    <row r="245" spans="1:9">
      <c r="A245" s="5">
        <v>31</v>
      </c>
      <c r="B245" s="5" t="s">
        <v>214</v>
      </c>
      <c r="C245" s="5" t="s">
        <v>204</v>
      </c>
      <c r="D245" s="5">
        <v>1</v>
      </c>
      <c r="E245" s="5">
        <v>0.56172263622283936</v>
      </c>
      <c r="F245" s="5">
        <v>0.55277442932128906</v>
      </c>
      <c r="G245" s="5">
        <v>0.47541773319244379</v>
      </c>
      <c r="H245" s="5">
        <v>1</v>
      </c>
      <c r="I245" s="4" t="str">
        <f>VLOOKUP(A245, [1]Sheet2!H$2:I$42, 2, 0)</f>
        <v>Shiri(2024)</v>
      </c>
    </row>
    <row r="246" spans="1:9">
      <c r="A246" s="5">
        <v>31</v>
      </c>
      <c r="B246" s="5" t="s">
        <v>234</v>
      </c>
      <c r="C246" s="5" t="s">
        <v>204</v>
      </c>
      <c r="D246" s="5">
        <v>0.60787302255630493</v>
      </c>
      <c r="E246" s="5">
        <v>0.54508376121520996</v>
      </c>
      <c r="F246" s="5">
        <v>0.47660690546035772</v>
      </c>
      <c r="G246" s="5">
        <v>0.58244192600250244</v>
      </c>
      <c r="H246" s="5">
        <v>0.60787302255630493</v>
      </c>
      <c r="I246" s="4" t="str">
        <f>VLOOKUP(A246, [1]Sheet2!H$2:I$42, 2, 0)</f>
        <v>Shiri(2024)</v>
      </c>
    </row>
    <row r="247" spans="1:9">
      <c r="A247" s="5">
        <v>31</v>
      </c>
      <c r="B247" s="5" t="s">
        <v>235</v>
      </c>
      <c r="C247" s="5" t="s">
        <v>204</v>
      </c>
      <c r="D247" s="5">
        <v>0.71432346105575562</v>
      </c>
      <c r="E247" s="5">
        <v>0.63276875019073486</v>
      </c>
      <c r="F247" s="5">
        <v>0.55034041404724121</v>
      </c>
      <c r="G247" s="5">
        <v>0.67009782791137695</v>
      </c>
      <c r="H247" s="5">
        <v>0.71432346105575562</v>
      </c>
      <c r="I247" s="4" t="str">
        <f>VLOOKUP(A247, [1]Sheet2!H$2:I$42, 2, 0)</f>
        <v>Shiri(2024)</v>
      </c>
    </row>
    <row r="248" spans="1:9">
      <c r="A248" s="5">
        <v>31</v>
      </c>
      <c r="B248" s="5" t="s">
        <v>236</v>
      </c>
      <c r="C248" s="5" t="s">
        <v>204</v>
      </c>
      <c r="D248" s="5">
        <v>0.62300640344619751</v>
      </c>
      <c r="E248" s="5">
        <v>0.47783797979354858</v>
      </c>
      <c r="F248" s="5">
        <v>0.57297623157501221</v>
      </c>
      <c r="G248" s="5">
        <v>0.38437318801879877</v>
      </c>
      <c r="H248" s="5">
        <v>0.62300640344619751</v>
      </c>
      <c r="I248" s="4" t="str">
        <f>VLOOKUP(A248, [1]Sheet2!H$2:I$42, 2, 0)</f>
        <v>Shiri(2024)</v>
      </c>
    </row>
    <row r="249" spans="1:9">
      <c r="A249" s="5">
        <v>32</v>
      </c>
      <c r="B249" s="5" t="s">
        <v>203</v>
      </c>
      <c r="C249" s="5" t="s">
        <v>204</v>
      </c>
      <c r="D249" s="5">
        <v>0.97080117464065552</v>
      </c>
      <c r="E249" s="5">
        <v>0.58032572269439697</v>
      </c>
      <c r="F249" s="5">
        <v>0.54299986362457275</v>
      </c>
      <c r="G249" s="5">
        <v>0.49413809180259699</v>
      </c>
      <c r="H249" s="5">
        <v>0.97080117464065552</v>
      </c>
      <c r="I249" s="4" t="str">
        <f>VLOOKUP(A249, [1]Sheet2!H$2:I$42, 2, 0)</f>
        <v>Smith et al. (2025)</v>
      </c>
    </row>
    <row r="250" spans="1:9">
      <c r="A250" s="5">
        <v>33</v>
      </c>
      <c r="B250" s="5" t="s">
        <v>237</v>
      </c>
      <c r="C250" s="5" t="s">
        <v>204</v>
      </c>
      <c r="D250" s="5">
        <v>0.64234137535095215</v>
      </c>
      <c r="E250" s="5">
        <v>0.56626510620117188</v>
      </c>
      <c r="F250" s="5">
        <v>0.52501595020294189</v>
      </c>
      <c r="G250" s="5">
        <v>0.59020125865936279</v>
      </c>
      <c r="H250" s="5">
        <v>0.64234137535095215</v>
      </c>
      <c r="I250" s="4" t="str">
        <f>VLOOKUP(A250, [1]Sheet2!H$2:I$42, 2, 0)</f>
        <v>Stolpe &amp; Hallström (2024)</v>
      </c>
    </row>
    <row r="251" spans="1:9">
      <c r="A251" s="5">
        <v>34</v>
      </c>
      <c r="B251" s="5" t="s">
        <v>238</v>
      </c>
      <c r="C251" s="5" t="s">
        <v>204</v>
      </c>
      <c r="D251" s="5">
        <v>0.73590421676635742</v>
      </c>
      <c r="E251" s="5">
        <v>0.41182571649551392</v>
      </c>
      <c r="F251" s="5">
        <v>0.33897647261619568</v>
      </c>
      <c r="G251" s="5">
        <v>0.39674058556556702</v>
      </c>
      <c r="H251" s="5">
        <v>0.73590421676635742</v>
      </c>
      <c r="I251" s="4" t="str">
        <f>VLOOKUP(A251, [1]Sheet2!H$2:I$42, 2, 0)</f>
        <v>Tauchnitz &amp; Ahmed (2024)</v>
      </c>
    </row>
    <row r="252" spans="1:9">
      <c r="A252" s="5">
        <v>34</v>
      </c>
      <c r="B252" s="5" t="s">
        <v>239</v>
      </c>
      <c r="C252" s="5" t="s">
        <v>204</v>
      </c>
      <c r="D252" s="5">
        <v>0.55531632900238037</v>
      </c>
      <c r="E252" s="5">
        <v>0.37505847215652471</v>
      </c>
      <c r="F252" s="5">
        <v>0.532143235206604</v>
      </c>
      <c r="G252" s="5">
        <v>0.43348002433776861</v>
      </c>
      <c r="H252" s="5">
        <v>0.55531632900238037</v>
      </c>
      <c r="I252" s="4" t="str">
        <f>VLOOKUP(A252, [1]Sheet2!H$2:I$42, 2, 0)</f>
        <v>Tauchnitz &amp; Ahmed (2024)</v>
      </c>
    </row>
    <row r="253" spans="1:9">
      <c r="A253" s="5">
        <v>34</v>
      </c>
      <c r="B253" s="5" t="s">
        <v>240</v>
      </c>
      <c r="C253" s="5" t="s">
        <v>204</v>
      </c>
      <c r="D253" s="5">
        <v>0.59757983684539795</v>
      </c>
      <c r="E253" s="5">
        <v>0.41434532403945917</v>
      </c>
      <c r="F253" s="5">
        <v>0.42768722772598272</v>
      </c>
      <c r="G253" s="5">
        <v>0.40342643857002258</v>
      </c>
      <c r="H253" s="5">
        <v>0.59757983684539795</v>
      </c>
      <c r="I253" s="4" t="str">
        <f>VLOOKUP(A253, [1]Sheet2!H$2:I$42, 2, 0)</f>
        <v>Tauchnitz &amp; Ahmed (2024)</v>
      </c>
    </row>
    <row r="254" spans="1:9">
      <c r="A254" s="5">
        <v>35</v>
      </c>
      <c r="B254" s="5" t="s">
        <v>241</v>
      </c>
      <c r="C254" s="5" t="s">
        <v>204</v>
      </c>
      <c r="D254" s="5">
        <v>0.74239397048950195</v>
      </c>
      <c r="E254" s="5">
        <v>0.53589522838592529</v>
      </c>
      <c r="F254" s="5">
        <v>0.44599208235740662</v>
      </c>
      <c r="G254" s="5">
        <v>0.57515090703964233</v>
      </c>
      <c r="H254" s="5">
        <v>0.74239397048950195</v>
      </c>
      <c r="I254" s="4" t="str">
        <f>VLOOKUP(A254, [1]Sheet2!H$2:I$42, 2, 0)</f>
        <v>Ward et al. (2025)</v>
      </c>
    </row>
    <row r="255" spans="1:9">
      <c r="A255" s="5">
        <v>35</v>
      </c>
      <c r="B255" s="5" t="s">
        <v>242</v>
      </c>
      <c r="C255" s="5" t="s">
        <v>204</v>
      </c>
      <c r="D255" s="5">
        <v>0.509979248046875</v>
      </c>
      <c r="E255" s="5">
        <v>0.42151948809623718</v>
      </c>
      <c r="F255" s="5">
        <v>0.40397268533706671</v>
      </c>
      <c r="G255" s="5">
        <v>0.42305892705917358</v>
      </c>
      <c r="H255" s="5">
        <v>0.509979248046875</v>
      </c>
      <c r="I255" s="4" t="str">
        <f>VLOOKUP(A255, [1]Sheet2!H$2:I$42, 2, 0)</f>
        <v>Ward et al. (2025)</v>
      </c>
    </row>
    <row r="256" spans="1:9">
      <c r="A256" s="5">
        <v>36</v>
      </c>
      <c r="B256" s="5" t="s">
        <v>243</v>
      </c>
      <c r="C256" s="5" t="s">
        <v>204</v>
      </c>
      <c r="D256" s="5">
        <v>0.60242182016372681</v>
      </c>
      <c r="E256" s="5">
        <v>0.44938334822654719</v>
      </c>
      <c r="F256" s="5">
        <v>0.45157986879348749</v>
      </c>
      <c r="G256" s="5">
        <v>0.50240540504455566</v>
      </c>
      <c r="H256" s="5">
        <v>0.60242182016372681</v>
      </c>
      <c r="I256" s="4" t="str">
        <f>VLOOKUP(A256, [1]Sheet2!H$2:I$42, 2, 0)</f>
        <v>Luo et al. (2024)</v>
      </c>
    </row>
    <row r="257" spans="1:9">
      <c r="A257" s="5">
        <v>36</v>
      </c>
      <c r="B257" s="5" t="s">
        <v>244</v>
      </c>
      <c r="C257" s="5" t="s">
        <v>204</v>
      </c>
      <c r="D257" s="5">
        <v>0.74818605184555054</v>
      </c>
      <c r="E257" s="5">
        <v>0.44423222541809082</v>
      </c>
      <c r="F257" s="5">
        <v>0.55426979064941406</v>
      </c>
      <c r="G257" s="5">
        <v>0.66581434011459351</v>
      </c>
      <c r="H257" s="5">
        <v>0.74818605184555054</v>
      </c>
      <c r="I257" s="4" t="str">
        <f>VLOOKUP(A257, [1]Sheet2!H$2:I$42, 2, 0)</f>
        <v>Luo et al. (2024)</v>
      </c>
    </row>
    <row r="258" spans="1:9">
      <c r="A258" s="5">
        <v>36</v>
      </c>
      <c r="B258" s="5" t="s">
        <v>245</v>
      </c>
      <c r="C258" s="5" t="s">
        <v>204</v>
      </c>
      <c r="D258" s="5">
        <v>0.73396307229995728</v>
      </c>
      <c r="E258" s="5">
        <v>0.57664507627487183</v>
      </c>
      <c r="F258" s="5">
        <v>0.41137963533401489</v>
      </c>
      <c r="G258" s="5">
        <v>0.45556575059890753</v>
      </c>
      <c r="H258" s="5">
        <v>0.73396307229995728</v>
      </c>
      <c r="I258" s="4" t="str">
        <f>VLOOKUP(A258, [1]Sheet2!H$2:I$42, 2, 0)</f>
        <v>Luo et al. (2024)</v>
      </c>
    </row>
    <row r="259" spans="1:9">
      <c r="A259" s="5">
        <v>36</v>
      </c>
      <c r="B259" s="5" t="s">
        <v>246</v>
      </c>
      <c r="C259" s="5" t="s">
        <v>204</v>
      </c>
      <c r="D259" s="5">
        <v>0.51242411136627197</v>
      </c>
      <c r="E259" s="5">
        <v>0.47721469402313232</v>
      </c>
      <c r="F259" s="5">
        <v>0.43087297677993769</v>
      </c>
      <c r="G259" s="5">
        <v>0.47109436988830572</v>
      </c>
      <c r="H259" s="5">
        <v>0.51242411136627197</v>
      </c>
      <c r="I259" s="4" t="str">
        <f>VLOOKUP(A259, [1]Sheet2!H$2:I$42, 2, 0)</f>
        <v>Luo et al. (2024)</v>
      </c>
    </row>
    <row r="260" spans="1:9">
      <c r="A260" s="5">
        <v>36</v>
      </c>
      <c r="B260" s="5" t="s">
        <v>247</v>
      </c>
      <c r="C260" s="5" t="s">
        <v>204</v>
      </c>
      <c r="D260" s="5">
        <v>0.64072716236114502</v>
      </c>
      <c r="E260" s="5">
        <v>0.53598743677139282</v>
      </c>
      <c r="F260" s="5">
        <v>0.42197602987289429</v>
      </c>
      <c r="G260" s="5">
        <v>0.46139863133430481</v>
      </c>
      <c r="H260" s="5">
        <v>0.64072716236114502</v>
      </c>
      <c r="I260" s="4" t="str">
        <f>VLOOKUP(A260, [1]Sheet2!H$2:I$42, 2, 0)</f>
        <v>Luo et al. (2024)</v>
      </c>
    </row>
    <row r="261" spans="1:9">
      <c r="A261" s="5">
        <v>36</v>
      </c>
      <c r="B261" s="5" t="s">
        <v>248</v>
      </c>
      <c r="C261" s="5" t="s">
        <v>204</v>
      </c>
      <c r="D261" s="5">
        <v>0.84945642948150635</v>
      </c>
      <c r="E261" s="5">
        <v>0.55956095457077026</v>
      </c>
      <c r="F261" s="5">
        <v>0.44593173265457148</v>
      </c>
      <c r="G261" s="5">
        <v>0.60741806030273438</v>
      </c>
      <c r="H261" s="5">
        <v>0.84945642948150635</v>
      </c>
      <c r="I261" s="4" t="str">
        <f>VLOOKUP(A261, [1]Sheet2!H$2:I$42, 2, 0)</f>
        <v>Luo et al. (2024)</v>
      </c>
    </row>
    <row r="262" spans="1:9">
      <c r="A262" s="5">
        <v>37</v>
      </c>
      <c r="B262" s="5" t="s">
        <v>249</v>
      </c>
      <c r="C262" s="5" t="s">
        <v>204</v>
      </c>
      <c r="D262" s="5">
        <v>0.95218437910079956</v>
      </c>
      <c r="E262" s="5">
        <v>0.57608157396316528</v>
      </c>
      <c r="F262" s="5">
        <v>0.57149451971054077</v>
      </c>
      <c r="G262" s="5">
        <v>0.48290959000587458</v>
      </c>
      <c r="H262" s="5">
        <v>0.95218437910079956</v>
      </c>
      <c r="I262" s="4" t="str">
        <f>VLOOKUP(A262, [1]Sheet2!H$2:I$42, 2, 0)</f>
        <v>Yuan et al. (2024)</v>
      </c>
    </row>
    <row r="263" spans="1:9">
      <c r="A263" s="5">
        <v>37</v>
      </c>
      <c r="B263" s="5" t="s">
        <v>250</v>
      </c>
      <c r="C263" s="5" t="s">
        <v>204</v>
      </c>
      <c r="D263" s="5">
        <v>0.50973039865493774</v>
      </c>
      <c r="E263" s="5">
        <v>0.39228600263595581</v>
      </c>
      <c r="F263" s="5">
        <v>0.38850754499435419</v>
      </c>
      <c r="G263" s="5">
        <v>0.39965331554412842</v>
      </c>
      <c r="H263" s="5">
        <v>0.50973039865493774</v>
      </c>
      <c r="I263" s="4" t="str">
        <f>VLOOKUP(A263, [1]Sheet2!H$2:I$42, 2, 0)</f>
        <v>Yuan et al. (2024)</v>
      </c>
    </row>
    <row r="264" spans="1:9">
      <c r="A264" s="5">
        <v>38</v>
      </c>
      <c r="B264" s="5" t="s">
        <v>212</v>
      </c>
      <c r="C264" s="5" t="s">
        <v>204</v>
      </c>
      <c r="D264" s="5">
        <v>0.96432828903198242</v>
      </c>
      <c r="E264" s="5">
        <v>0.56287574768066406</v>
      </c>
      <c r="F264" s="5">
        <v>0.5265192985534668</v>
      </c>
      <c r="G264" s="5">
        <v>0.50797373056411743</v>
      </c>
      <c r="H264" s="5">
        <v>0.96432828903198242</v>
      </c>
      <c r="I264" s="4" t="str">
        <f>VLOOKUP(A264, [1]Sheet2!H$2:I$42, 2, 0)</f>
        <v>Yue et al. (2025)</v>
      </c>
    </row>
    <row r="265" spans="1:9">
      <c r="A265" s="5">
        <v>39</v>
      </c>
      <c r="B265" s="5" t="s">
        <v>251</v>
      </c>
      <c r="C265" s="5" t="s">
        <v>204</v>
      </c>
      <c r="D265" s="5">
        <v>0.46261119842529302</v>
      </c>
      <c r="E265" s="5">
        <v>0.34897547960281372</v>
      </c>
      <c r="F265" s="5">
        <v>0.33708584308624268</v>
      </c>
      <c r="G265" s="5">
        <v>0.43046525120735168</v>
      </c>
      <c r="H265" s="5">
        <v>0.46261119842529302</v>
      </c>
      <c r="I265" s="4" t="str">
        <f>VLOOKUP(A265, [1]Sheet2!H$2:I$42, 2, 0)</f>
        <v>Zhong &amp; Liu (2025)</v>
      </c>
    </row>
    <row r="266" spans="1:9">
      <c r="A266" s="5">
        <v>40</v>
      </c>
      <c r="B266" s="5" t="s">
        <v>252</v>
      </c>
      <c r="C266" s="5" t="s">
        <v>204</v>
      </c>
      <c r="D266" s="5">
        <v>0.6455003023147583</v>
      </c>
      <c r="E266" s="5">
        <v>0.46561107039451599</v>
      </c>
      <c r="F266" s="5">
        <v>0.51746916770935059</v>
      </c>
      <c r="G266" s="5">
        <v>0.60510540008544922</v>
      </c>
      <c r="H266" s="5">
        <v>0.6455003023147583</v>
      </c>
      <c r="I266" s="4" t="str">
        <f>VLOOKUP(A266, [1]Sheet2!H$2:I$42, 2, 0)</f>
        <v>Zipf et al. (2025)</v>
      </c>
    </row>
    <row r="267" spans="1:9">
      <c r="A267" s="5">
        <v>11</v>
      </c>
      <c r="B267" s="5" t="s">
        <v>253</v>
      </c>
      <c r="C267" s="5" t="s">
        <v>254</v>
      </c>
      <c r="D267" s="5">
        <v>0.37733989953994751</v>
      </c>
      <c r="E267" s="5">
        <v>0.28068119287490839</v>
      </c>
      <c r="F267" s="5">
        <v>0.37733989953994751</v>
      </c>
      <c r="G267" s="5">
        <v>0.37140518426895142</v>
      </c>
      <c r="H267" s="5">
        <v>0.36498922109603882</v>
      </c>
      <c r="I267" s="4" t="str">
        <f>VLOOKUP(A267, [1]Sheet2!H$2:I$42, 2, 0)</f>
        <v>Yang et al. (2024)</v>
      </c>
    </row>
    <row r="268" spans="1:9">
      <c r="A268" s="5">
        <v>16</v>
      </c>
      <c r="B268" s="5" t="s">
        <v>255</v>
      </c>
      <c r="C268" s="5" t="s">
        <v>254</v>
      </c>
      <c r="D268" s="5">
        <v>0.39576265215873718</v>
      </c>
      <c r="E268" s="5">
        <v>0.3094373345375061</v>
      </c>
      <c r="F268" s="5">
        <v>0.3294142484664917</v>
      </c>
      <c r="G268" s="5">
        <v>0.38646656274795532</v>
      </c>
      <c r="H268" s="5">
        <v>0.39576265215873718</v>
      </c>
      <c r="I268" s="4" t="str">
        <f>VLOOKUP(A268, [1]Sheet2!H$2:I$42, 2, 0)</f>
        <v>Kathala et al. (2024)</v>
      </c>
    </row>
    <row r="269" spans="1:9">
      <c r="A269" s="5">
        <v>16</v>
      </c>
      <c r="B269" s="5" t="s">
        <v>256</v>
      </c>
      <c r="C269" s="5" t="s">
        <v>254</v>
      </c>
      <c r="D269" s="5">
        <v>0.38791674375534058</v>
      </c>
      <c r="E269" s="5">
        <v>0.3112066388130188</v>
      </c>
      <c r="F269" s="5">
        <v>0.25734338164329529</v>
      </c>
      <c r="G269" s="5">
        <v>0.38791674375534058</v>
      </c>
      <c r="H269" s="5">
        <v>0.30416065454483032</v>
      </c>
      <c r="I269" s="4" t="str">
        <f>VLOOKUP(A269, [1]Sheet2!H$2:I$42, 2, 0)</f>
        <v>Kathala et al. (2024)</v>
      </c>
    </row>
    <row r="270" spans="1:9">
      <c r="A270" s="5">
        <v>18</v>
      </c>
      <c r="B270" s="5" t="s">
        <v>257</v>
      </c>
      <c r="C270" s="5" t="s">
        <v>254</v>
      </c>
      <c r="D270" s="5">
        <v>0.37699320912361151</v>
      </c>
      <c r="E270" s="5">
        <v>0.28221791982650762</v>
      </c>
      <c r="F270" s="5">
        <v>0.27545961737632751</v>
      </c>
      <c r="G270" s="5">
        <v>0.37699320912361151</v>
      </c>
      <c r="H270" s="5">
        <v>0.30148905515670782</v>
      </c>
      <c r="I270" s="4" t="str">
        <f>VLOOKUP(A270, [1]Sheet2!H$2:I$42, 2, 0)</f>
        <v>Kong &amp; Yang (2024).</v>
      </c>
    </row>
    <row r="271" spans="1:9">
      <c r="A271" s="5">
        <v>20</v>
      </c>
      <c r="B271" s="5" t="s">
        <v>258</v>
      </c>
      <c r="C271" s="5" t="s">
        <v>254</v>
      </c>
      <c r="D271" s="5">
        <v>0.36996820569038391</v>
      </c>
      <c r="E271" s="5">
        <v>0.31509709358215332</v>
      </c>
      <c r="F271" s="5">
        <v>0.34719297289848328</v>
      </c>
      <c r="G271" s="5">
        <v>0.36996820569038391</v>
      </c>
      <c r="H271" s="5">
        <v>0.35043412446975708</v>
      </c>
      <c r="I271" s="4" t="str">
        <f>VLOOKUP(A271, [1]Sheet2!H$2:I$42, 2, 0)</f>
        <v>Markham &amp; Pronzato (2024)</v>
      </c>
    </row>
    <row r="272" spans="1:9">
      <c r="A272" s="5">
        <v>27</v>
      </c>
      <c r="B272" s="5" t="s">
        <v>259</v>
      </c>
      <c r="C272" s="5" t="s">
        <v>254</v>
      </c>
      <c r="D272" s="5">
        <v>0.37378054857254028</v>
      </c>
      <c r="E272" s="5">
        <v>0.32044321298599238</v>
      </c>
      <c r="F272" s="5">
        <v>0.33383360505104059</v>
      </c>
      <c r="G272" s="5">
        <v>0.35763955116271973</v>
      </c>
      <c r="H272" s="5">
        <v>0.37378054857254028</v>
      </c>
      <c r="I272" s="4" t="str">
        <f>VLOOKUP(A272, [1]Sheet2!H$2:I$42, 2, 0)</f>
        <v>Olari &amp; Romeike (2021)</v>
      </c>
    </row>
    <row r="273" spans="1:9">
      <c r="A273" s="5">
        <v>31</v>
      </c>
      <c r="B273" s="5" t="s">
        <v>260</v>
      </c>
      <c r="C273" s="5" t="s">
        <v>254</v>
      </c>
      <c r="D273" s="5">
        <v>0.34780246019363398</v>
      </c>
      <c r="E273" s="5">
        <v>0.25820046663284302</v>
      </c>
      <c r="F273" s="5">
        <v>0.2244584709405899</v>
      </c>
      <c r="G273" s="5">
        <v>0.34780246019363398</v>
      </c>
      <c r="H273" s="5">
        <v>0.26160421967506409</v>
      </c>
      <c r="I273" s="4" t="str">
        <f>VLOOKUP(A273, [1]Sheet2!H$2:I$42, 2, 0)</f>
        <v>Shiri(2024)</v>
      </c>
    </row>
  </sheetData>
  <phoneticPr fontId="3" type="noConversion"/>
  <conditionalFormatting sqref="A2:H1000">
    <cfRule type="expression" dxfId="3" priority="1">
      <formula>$C2="Ethical"</formula>
    </cfRule>
    <cfRule type="expression" dxfId="2" priority="2">
      <formula>$C2="Cognitive"</formula>
    </cfRule>
    <cfRule type="expression" dxfId="1" priority="3">
      <formula>$C2="Behavioural"</formula>
    </cfRule>
    <cfRule type="expression" dxfId="0" priority="4">
      <formula>$C2="Affective"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ABCE_Result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윤수 박</dc:creator>
  <cp:lastModifiedBy>윤수 박</cp:lastModifiedBy>
  <dcterms:created xsi:type="dcterms:W3CDTF">2026-02-13T03:16:07Z</dcterms:created>
  <dcterms:modified xsi:type="dcterms:W3CDTF">2026-02-13T03:16:16Z</dcterms:modified>
</cp:coreProperties>
</file>