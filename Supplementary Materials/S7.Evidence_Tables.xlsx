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r\Desktop\"/>
    </mc:Choice>
  </mc:AlternateContent>
  <xr:revisionPtr revIDLastSave="0" documentId="13_ncr:1_{0D199AEB-3D81-433B-964A-8F94F88219F4}" xr6:coauthVersionLast="47" xr6:coauthVersionMax="47" xr10:uidLastSave="{00000000-0000-0000-0000-000000000000}"/>
  <bookViews>
    <workbookView xWindow="22932" yWindow="-108" windowWidth="23256" windowHeight="12576" xr2:uid="{1E9297ED-9B27-4848-B12C-263506C361AE}"/>
  </bookViews>
  <sheets>
    <sheet name="M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1" l="1"/>
  <c r="O9" i="1"/>
  <c r="N9" i="1"/>
  <c r="M9" i="1"/>
  <c r="Q8" i="1"/>
  <c r="Q7" i="1"/>
  <c r="Q6" i="1"/>
  <c r="Q5" i="1"/>
  <c r="I8" i="1"/>
  <c r="I7" i="1"/>
  <c r="I6" i="1"/>
  <c r="I5" i="1"/>
  <c r="I9" i="1" s="1"/>
  <c r="J9" i="1"/>
  <c r="E9" i="1"/>
  <c r="D9" i="1"/>
</calcChain>
</file>

<file path=xl/sharedStrings.xml><?xml version="1.0" encoding="utf-8"?>
<sst xmlns="http://schemas.openxmlformats.org/spreadsheetml/2006/main" count="35" uniqueCount="19">
  <si>
    <t>Count</t>
    <phoneticPr fontId="3" type="noConversion"/>
  </si>
  <si>
    <t>Duplications</t>
    <phoneticPr fontId="3" type="noConversion"/>
  </si>
  <si>
    <t>Remains</t>
    <phoneticPr fontId="3" type="noConversion"/>
  </si>
  <si>
    <t>Affective</t>
  </si>
  <si>
    <t>Behavioural</t>
  </si>
  <si>
    <t>Cognitive</t>
  </si>
  <si>
    <t>Ethical</t>
  </si>
  <si>
    <t>Sum</t>
    <phoneticPr fontId="3" type="noConversion"/>
  </si>
  <si>
    <t>Human-centred mindset</t>
  </si>
  <si>
    <t>AI system design</t>
    <phoneticPr fontId="3" type="noConversion"/>
  </si>
  <si>
    <t>Ethics of AI</t>
  </si>
  <si>
    <t>AI techniques and applications</t>
  </si>
  <si>
    <t>Others</t>
  </si>
  <si>
    <t>sum</t>
    <phoneticPr fontId="3" type="noConversion"/>
  </si>
  <si>
    <t>Table 2</t>
    <phoneticPr fontId="3" type="noConversion"/>
  </si>
  <si>
    <t>Table 4</t>
    <phoneticPr fontId="3" type="noConversion"/>
  </si>
  <si>
    <t>Table 5</t>
    <phoneticPr fontId="3" type="noConversion"/>
  </si>
  <si>
    <t>UNESCO AI CFS (2024)</t>
    <phoneticPr fontId="3" type="noConversion"/>
  </si>
  <si>
    <t>ABCE Model (2024)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</si>
</sst>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times news romans"/>
    </font>
    <font>
      <sz val="8"/>
      <name val="맑은 고딕"/>
      <family val="2"/>
      <charset val="129"/>
      <scheme val="minor"/>
    </font>
    <font>
      <b/>
      <sz val="10"/>
      <color theme="1"/>
      <name val="times news romans"/>
      <family val="1"/>
    </font>
    <font>
      <sz val="10"/>
      <color theme="1"/>
      <name val="times news romans"/>
      <family val="1"/>
    </font>
    <font>
      <b/>
      <sz val="10"/>
      <name val="times news romans"/>
      <family val="1"/>
    </font>
    <font>
      <sz val="10"/>
      <name val="times news romans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1" xfId="1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7" fillId="0" borderId="0" xfId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3" xfId="1" applyFont="1" applyFill="1" applyBorder="1" applyAlignment="1">
      <alignment horizontal="right" vertical="center" wrapText="1"/>
    </xf>
    <xf numFmtId="0" fontId="7" fillId="0" borderId="1" xfId="0" applyFont="1" applyBorder="1">
      <alignment vertical="center"/>
    </xf>
    <xf numFmtId="0" fontId="6" fillId="2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6DAE9F32-B6A1-4D17-AB8F-5F080AEC1999}"/>
  </cellStyles>
  <dxfs count="24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A4CF-983E-41B6-A882-6AEE9CD87AD0}">
  <sheetPr>
    <tabColor rgb="FFFFFF00"/>
  </sheetPr>
  <dimension ref="B1:Q273"/>
  <sheetViews>
    <sheetView tabSelected="1" workbookViewId="0">
      <selection activeCell="L2" sqref="L1:L1048576"/>
    </sheetView>
  </sheetViews>
  <sheetFormatPr defaultRowHeight="13.2"/>
  <cols>
    <col min="1" max="1" width="2.69921875" style="3" customWidth="1"/>
    <col min="2" max="2" width="18.19921875" style="6" customWidth="1"/>
    <col min="3" max="5" width="10.69921875" style="3" customWidth="1"/>
    <col min="6" max="6" width="2.69921875" style="3" customWidth="1"/>
    <col min="7" max="7" width="23.69921875" style="3" customWidth="1"/>
    <col min="8" max="10" width="10.69921875" style="3" customWidth="1"/>
    <col min="11" max="11" width="2.69921875" style="3" customWidth="1"/>
    <col min="12" max="12" width="23.69921875" style="3" customWidth="1"/>
    <col min="13" max="17" width="10.69921875" style="3" customWidth="1"/>
    <col min="18" max="16384" width="8.796875" style="3"/>
  </cols>
  <sheetData>
    <row r="1" spans="2:17">
      <c r="B1" s="13" t="s">
        <v>14</v>
      </c>
      <c r="C1" s="13"/>
      <c r="D1" s="13"/>
      <c r="E1" s="13"/>
      <c r="G1" s="14" t="s">
        <v>15</v>
      </c>
      <c r="H1" s="14"/>
      <c r="I1" s="14"/>
      <c r="J1" s="14"/>
      <c r="L1" s="14" t="s">
        <v>16</v>
      </c>
      <c r="M1" s="14"/>
      <c r="N1" s="14"/>
      <c r="O1" s="14"/>
      <c r="P1" s="14"/>
      <c r="Q1" s="14"/>
    </row>
    <row r="3" spans="2:17">
      <c r="B3" s="1" t="s">
        <v>18</v>
      </c>
      <c r="C3" s="2" t="s">
        <v>0</v>
      </c>
      <c r="D3" s="2" t="s">
        <v>1</v>
      </c>
      <c r="E3" s="2" t="s">
        <v>2</v>
      </c>
      <c r="G3" s="1" t="s">
        <v>17</v>
      </c>
      <c r="H3" s="7" t="s">
        <v>0</v>
      </c>
      <c r="I3" s="7" t="s">
        <v>1</v>
      </c>
      <c r="J3" s="7" t="s">
        <v>2</v>
      </c>
      <c r="K3" s="8"/>
      <c r="L3" s="9" t="s">
        <v>18</v>
      </c>
      <c r="M3" s="15" t="s">
        <v>3</v>
      </c>
      <c r="N3" s="17" t="s">
        <v>4</v>
      </c>
      <c r="O3" s="17" t="s">
        <v>5</v>
      </c>
      <c r="P3" s="17" t="s">
        <v>6</v>
      </c>
      <c r="Q3" s="17" t="s">
        <v>7</v>
      </c>
    </row>
    <row r="4" spans="2:17">
      <c r="B4" s="4" t="s">
        <v>3</v>
      </c>
      <c r="C4" s="5">
        <v>38</v>
      </c>
      <c r="D4" s="5">
        <v>2</v>
      </c>
      <c r="E4" s="5">
        <v>36</v>
      </c>
      <c r="G4" s="10" t="s">
        <v>8</v>
      </c>
      <c r="H4" s="10">
        <v>43</v>
      </c>
      <c r="I4" s="10">
        <v>1</v>
      </c>
      <c r="J4" s="10">
        <v>42</v>
      </c>
      <c r="K4" s="8"/>
      <c r="L4" s="11" t="s">
        <v>17</v>
      </c>
      <c r="M4" s="16"/>
      <c r="N4" s="18"/>
      <c r="O4" s="18"/>
      <c r="P4" s="18"/>
      <c r="Q4" s="18"/>
    </row>
    <row r="5" spans="2:17">
      <c r="B5" s="4" t="s">
        <v>4</v>
      </c>
      <c r="C5" s="5">
        <v>30</v>
      </c>
      <c r="D5" s="5">
        <v>5</v>
      </c>
      <c r="E5" s="5">
        <v>25</v>
      </c>
      <c r="G5" s="10" t="s">
        <v>10</v>
      </c>
      <c r="H5" s="10">
        <v>65</v>
      </c>
      <c r="I5" s="10">
        <f t="shared" ref="I5:I8" si="0">H5-J5</f>
        <v>16</v>
      </c>
      <c r="J5" s="10">
        <v>49</v>
      </c>
      <c r="K5" s="8"/>
      <c r="L5" s="12" t="s">
        <v>9</v>
      </c>
      <c r="M5" s="10">
        <v>3</v>
      </c>
      <c r="N5" s="10">
        <v>3</v>
      </c>
      <c r="O5" s="10">
        <v>14</v>
      </c>
      <c r="P5" s="10">
        <v>5</v>
      </c>
      <c r="Q5" s="10">
        <f>SUM(M5:P5)</f>
        <v>25</v>
      </c>
    </row>
    <row r="6" spans="2:17">
      <c r="B6" s="4" t="s">
        <v>5</v>
      </c>
      <c r="C6" s="5">
        <v>141</v>
      </c>
      <c r="D6" s="5">
        <v>15</v>
      </c>
      <c r="E6" s="5">
        <v>126</v>
      </c>
      <c r="G6" s="10" t="s">
        <v>11</v>
      </c>
      <c r="H6" s="10">
        <v>94</v>
      </c>
      <c r="I6" s="10">
        <f t="shared" si="0"/>
        <v>10</v>
      </c>
      <c r="J6" s="10">
        <v>84</v>
      </c>
      <c r="K6" s="8"/>
      <c r="L6" s="10" t="s">
        <v>11</v>
      </c>
      <c r="M6" s="10">
        <v>12</v>
      </c>
      <c r="N6" s="10">
        <v>8</v>
      </c>
      <c r="O6" s="10">
        <v>61</v>
      </c>
      <c r="P6" s="10">
        <v>3</v>
      </c>
      <c r="Q6" s="10">
        <f>SUM(M6:P6)</f>
        <v>84</v>
      </c>
    </row>
    <row r="7" spans="2:17">
      <c r="B7" s="4" t="s">
        <v>6</v>
      </c>
      <c r="C7" s="5">
        <v>56</v>
      </c>
      <c r="D7" s="5">
        <v>8</v>
      </c>
      <c r="E7" s="5">
        <v>48</v>
      </c>
      <c r="G7" s="10" t="s">
        <v>9</v>
      </c>
      <c r="H7" s="10">
        <v>27</v>
      </c>
      <c r="I7" s="10">
        <f t="shared" si="0"/>
        <v>1</v>
      </c>
      <c r="J7" s="10">
        <v>26</v>
      </c>
      <c r="K7" s="8"/>
      <c r="L7" s="10" t="s">
        <v>10</v>
      </c>
      <c r="M7" s="10">
        <v>8</v>
      </c>
      <c r="N7" s="10">
        <v>1</v>
      </c>
      <c r="O7" s="10">
        <v>15</v>
      </c>
      <c r="P7" s="10">
        <v>25</v>
      </c>
      <c r="Q7" s="10">
        <f>SUM(M7:P7)</f>
        <v>49</v>
      </c>
    </row>
    <row r="8" spans="2:17">
      <c r="B8" s="4" t="s">
        <v>12</v>
      </c>
      <c r="C8" s="5">
        <v>7</v>
      </c>
      <c r="D8" s="5">
        <v>0</v>
      </c>
      <c r="E8" s="5">
        <v>7</v>
      </c>
      <c r="G8" s="4" t="s">
        <v>12</v>
      </c>
      <c r="H8" s="10">
        <v>43</v>
      </c>
      <c r="I8" s="10">
        <f t="shared" si="0"/>
        <v>2</v>
      </c>
      <c r="J8" s="10">
        <v>41</v>
      </c>
      <c r="K8" s="8"/>
      <c r="L8" s="10" t="s">
        <v>8</v>
      </c>
      <c r="M8" s="10">
        <v>8</v>
      </c>
      <c r="N8" s="10">
        <v>11</v>
      </c>
      <c r="O8" s="10">
        <v>13</v>
      </c>
      <c r="P8" s="10">
        <v>11</v>
      </c>
      <c r="Q8" s="10">
        <f>SUM(M8:P8)</f>
        <v>43</v>
      </c>
    </row>
    <row r="9" spans="2:17">
      <c r="B9" s="4" t="s">
        <v>13</v>
      </c>
      <c r="C9" s="5">
        <v>272</v>
      </c>
      <c r="D9" s="5">
        <f>SUM(D4:D8)</f>
        <v>30</v>
      </c>
      <c r="E9" s="5">
        <f>SUM(E4:E8)</f>
        <v>242</v>
      </c>
      <c r="G9" s="4" t="s">
        <v>13</v>
      </c>
      <c r="H9" s="10">
        <v>272</v>
      </c>
      <c r="I9" s="10">
        <f>SUM(I4:I8)</f>
        <v>30</v>
      </c>
      <c r="J9" s="10">
        <f>SUM(J4:J8)</f>
        <v>242</v>
      </c>
      <c r="K9" s="8"/>
      <c r="L9" s="4" t="s">
        <v>13</v>
      </c>
      <c r="M9" s="10">
        <f>SUM(M5:M8)</f>
        <v>31</v>
      </c>
      <c r="N9" s="10">
        <f>SUM(N5:N8)</f>
        <v>23</v>
      </c>
      <c r="O9" s="10">
        <f>SUM(O5:O8)</f>
        <v>103</v>
      </c>
      <c r="P9" s="10">
        <f>SUM(P5:P8)</f>
        <v>44</v>
      </c>
      <c r="Q9" s="10">
        <v>201</v>
      </c>
    </row>
    <row r="10" spans="2:17">
      <c r="B10" s="3"/>
    </row>
    <row r="11" spans="2:17">
      <c r="B11" s="3"/>
    </row>
    <row r="12" spans="2:17">
      <c r="B12" s="3"/>
    </row>
    <row r="13" spans="2:17">
      <c r="B13" s="3"/>
    </row>
    <row r="14" spans="2:17">
      <c r="B14" s="3"/>
    </row>
    <row r="15" spans="2:17">
      <c r="B15" s="3"/>
    </row>
    <row r="16" spans="2:1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29" spans="2:2">
      <c r="B129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  <row r="228" spans="2:2">
      <c r="B228" s="3"/>
    </row>
    <row r="229" spans="2:2">
      <c r="B229" s="3"/>
    </row>
    <row r="230" spans="2:2">
      <c r="B230" s="3"/>
    </row>
    <row r="231" spans="2:2">
      <c r="B231" s="3"/>
    </row>
    <row r="232" spans="2:2">
      <c r="B232" s="3"/>
    </row>
    <row r="233" spans="2:2">
      <c r="B233" s="3"/>
    </row>
    <row r="234" spans="2:2">
      <c r="B234" s="3"/>
    </row>
    <row r="235" spans="2:2">
      <c r="B235" s="3"/>
    </row>
    <row r="236" spans="2:2">
      <c r="B236" s="3"/>
    </row>
    <row r="237" spans="2:2">
      <c r="B237" s="3"/>
    </row>
    <row r="238" spans="2:2">
      <c r="B238" s="3"/>
    </row>
    <row r="239" spans="2:2">
      <c r="B239" s="3"/>
    </row>
    <row r="240" spans="2:2">
      <c r="B240" s="3"/>
    </row>
    <row r="241" spans="2:2">
      <c r="B241" s="3"/>
    </row>
    <row r="242" spans="2:2">
      <c r="B242" s="3"/>
    </row>
    <row r="243" spans="2:2">
      <c r="B243" s="3"/>
    </row>
    <row r="244" spans="2:2">
      <c r="B244" s="3"/>
    </row>
    <row r="245" spans="2:2">
      <c r="B245" s="3"/>
    </row>
    <row r="246" spans="2:2">
      <c r="B246" s="3"/>
    </row>
    <row r="247" spans="2:2">
      <c r="B247" s="3"/>
    </row>
    <row r="248" spans="2:2">
      <c r="B248" s="3"/>
    </row>
    <row r="249" spans="2:2">
      <c r="B249" s="3"/>
    </row>
    <row r="250" spans="2:2">
      <c r="B250" s="3"/>
    </row>
    <row r="251" spans="2:2">
      <c r="B251" s="3"/>
    </row>
    <row r="252" spans="2:2">
      <c r="B252" s="3"/>
    </row>
    <row r="253" spans="2:2">
      <c r="B253" s="3"/>
    </row>
    <row r="254" spans="2:2">
      <c r="B254" s="3"/>
    </row>
    <row r="255" spans="2:2">
      <c r="B255" s="3"/>
    </row>
    <row r="256" spans="2:2">
      <c r="B256" s="3"/>
    </row>
    <row r="257" spans="2:2">
      <c r="B257" s="3"/>
    </row>
    <row r="258" spans="2:2">
      <c r="B258" s="3"/>
    </row>
    <row r="259" spans="2:2">
      <c r="B259" s="3"/>
    </row>
    <row r="260" spans="2:2">
      <c r="B260" s="3"/>
    </row>
    <row r="261" spans="2:2">
      <c r="B261" s="3"/>
    </row>
    <row r="262" spans="2:2">
      <c r="B262" s="3"/>
    </row>
    <row r="263" spans="2:2">
      <c r="B263" s="3"/>
    </row>
    <row r="264" spans="2:2">
      <c r="B264" s="3"/>
    </row>
    <row r="265" spans="2:2">
      <c r="B265" s="3"/>
    </row>
    <row r="266" spans="2:2">
      <c r="B266" s="3"/>
    </row>
    <row r="267" spans="2:2">
      <c r="B267" s="3"/>
    </row>
    <row r="268" spans="2:2">
      <c r="B268" s="3"/>
    </row>
    <row r="269" spans="2:2">
      <c r="B269" s="3"/>
    </row>
    <row r="270" spans="2:2">
      <c r="B270" s="3"/>
    </row>
    <row r="271" spans="2:2">
      <c r="B271" s="3"/>
    </row>
    <row r="272" spans="2:2">
      <c r="B272" s="3"/>
    </row>
    <row r="273" spans="2:2">
      <c r="B273" s="3"/>
    </row>
  </sheetData>
  <mergeCells count="8">
    <mergeCell ref="B1:E1"/>
    <mergeCell ref="G1:J1"/>
    <mergeCell ref="L1:Q1"/>
    <mergeCell ref="M3:M4"/>
    <mergeCell ref="N3:N4"/>
    <mergeCell ref="O3:O4"/>
    <mergeCell ref="P3:P4"/>
    <mergeCell ref="Q3:Q4"/>
  </mergeCells>
  <phoneticPr fontId="3" type="noConversion"/>
  <conditionalFormatting sqref="B4">
    <cfRule type="expression" dxfId="23" priority="21">
      <formula>#REF!="Ethical"</formula>
    </cfRule>
    <cfRule type="expression" dxfId="22" priority="22">
      <formula>#REF!="Cognitive"</formula>
    </cfRule>
    <cfRule type="expression" dxfId="21" priority="23">
      <formula>#REF!="Behavioural"</formula>
    </cfRule>
    <cfRule type="expression" dxfId="20" priority="24">
      <formula>#REF!="Affective"</formula>
    </cfRule>
  </conditionalFormatting>
  <conditionalFormatting sqref="B5:B9">
    <cfRule type="expression" dxfId="19" priority="17">
      <formula>$C3="Ethical"</formula>
    </cfRule>
    <cfRule type="expression" dxfId="18" priority="18">
      <formula>$C3="Cognitive"</formula>
    </cfRule>
    <cfRule type="expression" dxfId="17" priority="19">
      <formula>$C3="Behavioural"</formula>
    </cfRule>
    <cfRule type="expression" dxfId="16" priority="20">
      <formula>$C3="Affective"</formula>
    </cfRule>
  </conditionalFormatting>
  <conditionalFormatting sqref="B274:B1000">
    <cfRule type="expression" dxfId="15" priority="13">
      <formula>$C274="Ethical"</formula>
    </cfRule>
    <cfRule type="expression" dxfId="14" priority="14">
      <formula>$C274="Cognitive"</formula>
    </cfRule>
    <cfRule type="expression" dxfId="13" priority="15">
      <formula>$C274="Behavioural"</formula>
    </cfRule>
    <cfRule type="expression" dxfId="12" priority="16">
      <formula>$C274="Affective"</formula>
    </cfRule>
  </conditionalFormatting>
  <conditionalFormatting sqref="G8:G9">
    <cfRule type="expression" dxfId="11" priority="9">
      <formula>$C6="Ethical"</formula>
    </cfRule>
    <cfRule type="expression" dxfId="10" priority="10">
      <formula>$C6="Cognitive"</formula>
    </cfRule>
    <cfRule type="expression" dxfId="9" priority="11">
      <formula>$C6="Behavioural"</formula>
    </cfRule>
    <cfRule type="expression" dxfId="8" priority="12">
      <formula>$C6="Affective"</formula>
    </cfRule>
  </conditionalFormatting>
  <conditionalFormatting sqref="L9">
    <cfRule type="expression" dxfId="7" priority="5">
      <formula>$C6="Ethical"</formula>
    </cfRule>
    <cfRule type="expression" dxfId="6" priority="6">
      <formula>$C6="Cognitive"</formula>
    </cfRule>
    <cfRule type="expression" dxfId="5" priority="7">
      <formula>$C6="Behavioural"</formula>
    </cfRule>
    <cfRule type="expression" dxfId="4" priority="8">
      <formula>$C6="Affective"</formula>
    </cfRule>
  </conditionalFormatting>
  <conditionalFormatting sqref="M3:Q3">
    <cfRule type="expression" dxfId="3" priority="1">
      <formula>$C2="Ethical"</formula>
    </cfRule>
    <cfRule type="expression" dxfId="2" priority="2">
      <formula>$C2="Cognitive"</formula>
    </cfRule>
    <cfRule type="expression" dxfId="1" priority="3">
      <formula>$C2="Behavioural"</formula>
    </cfRule>
    <cfRule type="expression" dxfId="0" priority="4">
      <formula>$C2="Affective"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윤수 박</dc:creator>
  <cp:lastModifiedBy>윤수 박</cp:lastModifiedBy>
  <dcterms:created xsi:type="dcterms:W3CDTF">2026-02-22T03:36:05Z</dcterms:created>
  <dcterms:modified xsi:type="dcterms:W3CDTF">2026-05-05T15:41:40Z</dcterms:modified>
</cp:coreProperties>
</file>