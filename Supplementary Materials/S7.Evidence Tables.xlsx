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G:\내 드라이브\연구프로젝트\2025_AI Literacy\July2026 리비전\"/>
    </mc:Choice>
  </mc:AlternateContent>
  <xr:revisionPtr revIDLastSave="0" documentId="13_ncr:1_{0CBFCE91-8BD1-406F-B976-F578E71E521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7.Evidence Tab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" i="1" l="1"/>
  <c r="O10" i="1"/>
  <c r="N10" i="1"/>
  <c r="M10" i="1"/>
  <c r="R9" i="1"/>
  <c r="J9" i="1"/>
  <c r="I9" i="1"/>
  <c r="H9" i="1"/>
  <c r="D9" i="1"/>
  <c r="E9" i="1" s="1"/>
  <c r="R8" i="1"/>
  <c r="R10" i="1" s="1"/>
  <c r="J8" i="1"/>
  <c r="E8" i="1"/>
  <c r="R7" i="1"/>
  <c r="J7" i="1"/>
  <c r="E7" i="1"/>
  <c r="R6" i="1"/>
  <c r="J6" i="1"/>
  <c r="E6" i="1"/>
  <c r="R5" i="1"/>
  <c r="J5" i="1"/>
  <c r="E5" i="1"/>
  <c r="J4" i="1"/>
  <c r="E4" i="1"/>
</calcChain>
</file>

<file path=xl/sharedStrings.xml><?xml version="1.0" encoding="utf-8"?>
<sst xmlns="http://schemas.openxmlformats.org/spreadsheetml/2006/main" count="37" uniqueCount="20">
  <si>
    <t>UNESCO AI CFS (2024)</t>
  </si>
  <si>
    <t>Affective</t>
  </si>
  <si>
    <t>Behavioural</t>
  </si>
  <si>
    <t>Cognitive</t>
  </si>
  <si>
    <t>AI system design</t>
  </si>
  <si>
    <t>AI techniques and applications</t>
  </si>
  <si>
    <t>Ethics of AI</t>
  </si>
  <si>
    <t>Ethical</t>
  </si>
  <si>
    <t>Others</t>
  </si>
  <si>
    <t>Human-centred mindset</t>
  </si>
  <si>
    <t>ABCE Model (2024)</t>
  </si>
  <si>
    <t>Table 2</t>
  </si>
  <si>
    <t>Count</t>
  </si>
  <si>
    <t>Table 5</t>
  </si>
  <si>
    <t>Remains</t>
  </si>
  <si>
    <t>Table 4</t>
  </si>
  <si>
    <t>Sum</t>
  </si>
  <si>
    <t>Duplications</t>
  </si>
  <si>
    <t>Others</t>
    <phoneticPr fontId="4" type="noConversion"/>
  </si>
  <si>
    <t>Sum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</si>
</sst>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rgb="FF000000"/>
      <name val="맑은 고딕"/>
    </font>
    <font>
      <b/>
      <sz val="10"/>
      <color rgb="FF000000"/>
      <name val="times news romans"/>
    </font>
    <font>
      <sz val="10"/>
      <color rgb="FF000000"/>
      <name val="times news romans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times news romans"/>
      <family val="1"/>
    </font>
  </fonts>
  <fills count="4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16">
    <xf numFmtId="0" fontId="0" fillId="0" borderId="0" xfId="0">
      <alignment vertical="center"/>
    </xf>
    <xf numFmtId="0" fontId="1" fillId="2" borderId="1" xfId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0" xfId="1" applyFont="1" applyAlignment="1">
      <alignment vertical="center"/>
    </xf>
    <xf numFmtId="0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right" vertical="center" wrapText="1"/>
    </xf>
    <xf numFmtId="0" fontId="1" fillId="2" borderId="1" xfId="0" applyFont="1" applyFill="1" applyBorder="1">
      <alignment vertical="center"/>
    </xf>
    <xf numFmtId="0" fontId="1" fillId="0" borderId="1" xfId="1" applyFont="1" applyBorder="1" applyAlignment="1">
      <alignment vertical="center" wrapText="1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" fillId="3" borderId="1" xfId="0" applyFont="1" applyFill="1" applyBorder="1">
      <alignment vertical="center"/>
    </xf>
  </cellXfs>
  <cellStyles count="2">
    <cellStyle name="표준" xfId="0" builtinId="0"/>
    <cellStyle name="표준 2" xfId="1" xr:uid="{00000000-0005-0000-0000-000001000000}"/>
  </cellStyles>
  <dxfs count="46"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BE5D7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BE5D7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BE5D7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BE5D7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BE5D7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BE5D7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BE5D7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BE5D7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9" xr9:uid="{00000000-0011-0000-FFFF-FFFF00000000}">
      <tableStyleElement type="wholeTable" dxfId="45"/>
      <tableStyleElement type="headerRow" dxfId="44"/>
      <tableStyleElement type="totalRow" dxfId="43"/>
      <tableStyleElement type="firstColumn" dxfId="42"/>
      <tableStyleElement type="lastColumn" dxfId="41"/>
      <tableStyleElement type="firstRowStripe" dxfId="40"/>
      <tableStyleElement type="firstColumnStripe" dxfId="39"/>
    </tableStyle>
    <tableStyle name="Light Style 1 - Accent 1" table="0" count="8" xr9:uid="{00000000-0011-0000-FFFF-FFFF01000000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firstColumnStripe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</sheetPr>
  <dimension ref="B1:R273"/>
  <sheetViews>
    <sheetView tabSelected="1" zoomScale="85" zoomScaleNormal="85" zoomScaleSheetLayoutView="75" workbookViewId="0">
      <selection activeCell="B1" sqref="B1:E1"/>
    </sheetView>
  </sheetViews>
  <sheetFormatPr defaultColWidth="8.75" defaultRowHeight="13"/>
  <cols>
    <col min="1" max="1" width="2.75" style="3" customWidth="1"/>
    <col min="2" max="2" width="18.25" style="6" customWidth="1"/>
    <col min="3" max="3" width="8.6640625" style="3" customWidth="1"/>
    <col min="4" max="4" width="10.1640625" style="3" customWidth="1"/>
    <col min="5" max="5" width="10.33203125" style="3" customWidth="1"/>
    <col min="6" max="6" width="2.75" style="3" customWidth="1"/>
    <col min="7" max="7" width="21" style="3" customWidth="1"/>
    <col min="8" max="8" width="9" style="3" customWidth="1"/>
    <col min="9" max="10" width="10.75" style="3" customWidth="1"/>
    <col min="11" max="11" width="2.75" style="3" customWidth="1"/>
    <col min="12" max="12" width="23.75" style="3" customWidth="1"/>
    <col min="13" max="18" width="7.9140625" style="3" customWidth="1"/>
    <col min="19" max="16384" width="8.75" style="3"/>
  </cols>
  <sheetData>
    <row r="1" spans="2:18">
      <c r="B1" s="7" t="s">
        <v>11</v>
      </c>
      <c r="C1" s="7"/>
      <c r="D1" s="7"/>
      <c r="E1" s="7"/>
      <c r="G1" s="8" t="s">
        <v>15</v>
      </c>
      <c r="H1" s="8"/>
      <c r="I1" s="8"/>
      <c r="J1" s="8"/>
      <c r="L1" s="8" t="s">
        <v>13</v>
      </c>
      <c r="M1" s="8"/>
      <c r="N1" s="8"/>
      <c r="O1" s="8"/>
      <c r="P1" s="8"/>
      <c r="Q1" s="8"/>
      <c r="R1" s="8"/>
    </row>
    <row r="3" spans="2:18" ht="23.9" customHeight="1">
      <c r="B3" s="1" t="s">
        <v>10</v>
      </c>
      <c r="C3" s="2" t="s">
        <v>12</v>
      </c>
      <c r="D3" s="2" t="s">
        <v>17</v>
      </c>
      <c r="E3" s="2" t="s">
        <v>14</v>
      </c>
      <c r="G3" s="1" t="s">
        <v>0</v>
      </c>
      <c r="H3" s="2" t="s">
        <v>12</v>
      </c>
      <c r="I3" s="2" t="s">
        <v>17</v>
      </c>
      <c r="J3" s="2" t="s">
        <v>14</v>
      </c>
      <c r="L3" s="10" t="s">
        <v>10</v>
      </c>
      <c r="M3" s="9" t="s">
        <v>1</v>
      </c>
      <c r="N3" s="9" t="s">
        <v>2</v>
      </c>
      <c r="O3" s="9" t="s">
        <v>3</v>
      </c>
      <c r="P3" s="9" t="s">
        <v>7</v>
      </c>
      <c r="Q3" s="9" t="s">
        <v>18</v>
      </c>
      <c r="R3" s="9" t="s">
        <v>16</v>
      </c>
    </row>
    <row r="4" spans="2:18">
      <c r="B4" s="4" t="s">
        <v>1</v>
      </c>
      <c r="C4" s="5">
        <v>37</v>
      </c>
      <c r="D4" s="5">
        <v>1</v>
      </c>
      <c r="E4" s="14">
        <f>C4-D4</f>
        <v>36</v>
      </c>
      <c r="G4" s="5" t="s">
        <v>4</v>
      </c>
      <c r="H4" s="5">
        <v>28</v>
      </c>
      <c r="I4" s="5">
        <v>3</v>
      </c>
      <c r="J4" s="14">
        <f>H4-I4</f>
        <v>25</v>
      </c>
      <c r="L4" s="11" t="s">
        <v>0</v>
      </c>
      <c r="M4" s="9"/>
      <c r="N4" s="9"/>
      <c r="O4" s="9"/>
      <c r="P4" s="9"/>
      <c r="Q4" s="9"/>
      <c r="R4" s="9"/>
    </row>
    <row r="5" spans="2:18">
      <c r="B5" s="4" t="s">
        <v>2</v>
      </c>
      <c r="C5" s="5">
        <v>31</v>
      </c>
      <c r="D5" s="5">
        <v>6</v>
      </c>
      <c r="E5" s="14">
        <f t="shared" ref="E5:E9" si="0">C5-D5</f>
        <v>25</v>
      </c>
      <c r="G5" s="5" t="s">
        <v>5</v>
      </c>
      <c r="H5" s="5">
        <v>90</v>
      </c>
      <c r="I5" s="5">
        <v>5</v>
      </c>
      <c r="J5" s="14">
        <f>H5-I5</f>
        <v>85</v>
      </c>
      <c r="L5" s="5" t="s">
        <v>4</v>
      </c>
      <c r="M5" s="15">
        <v>3</v>
      </c>
      <c r="N5" s="15">
        <v>3</v>
      </c>
      <c r="O5" s="15">
        <v>13</v>
      </c>
      <c r="P5" s="15">
        <v>5</v>
      </c>
      <c r="Q5" s="5">
        <v>1</v>
      </c>
      <c r="R5" s="14">
        <f>SUM(M5:Q5)</f>
        <v>25</v>
      </c>
    </row>
    <row r="6" spans="2:18">
      <c r="B6" s="4" t="s">
        <v>3</v>
      </c>
      <c r="C6" s="5">
        <v>141</v>
      </c>
      <c r="D6" s="5">
        <v>15</v>
      </c>
      <c r="E6" s="14">
        <f t="shared" si="0"/>
        <v>126</v>
      </c>
      <c r="G6" s="5" t="s">
        <v>6</v>
      </c>
      <c r="H6" s="5">
        <v>59</v>
      </c>
      <c r="I6" s="5">
        <v>10</v>
      </c>
      <c r="J6" s="14">
        <f>H6-I6</f>
        <v>49</v>
      </c>
      <c r="L6" s="5" t="s">
        <v>5</v>
      </c>
      <c r="M6" s="15">
        <v>12</v>
      </c>
      <c r="N6" s="15">
        <v>8</v>
      </c>
      <c r="O6" s="15">
        <v>62</v>
      </c>
      <c r="P6" s="15">
        <v>3</v>
      </c>
      <c r="Q6" s="5">
        <v>0</v>
      </c>
      <c r="R6" s="14">
        <f>SUM(M6:Q6)</f>
        <v>85</v>
      </c>
    </row>
    <row r="7" spans="2:18">
      <c r="B7" s="4" t="s">
        <v>7</v>
      </c>
      <c r="C7" s="5">
        <v>56</v>
      </c>
      <c r="D7" s="5">
        <v>7</v>
      </c>
      <c r="E7" s="14">
        <f t="shared" si="0"/>
        <v>49</v>
      </c>
      <c r="G7" s="5" t="s">
        <v>9</v>
      </c>
      <c r="H7" s="5">
        <v>50</v>
      </c>
      <c r="I7" s="5">
        <v>7</v>
      </c>
      <c r="J7" s="14">
        <f>H7-I7</f>
        <v>43</v>
      </c>
      <c r="L7" s="5" t="s">
        <v>6</v>
      </c>
      <c r="M7" s="15">
        <v>8</v>
      </c>
      <c r="N7" s="15">
        <v>1</v>
      </c>
      <c r="O7" s="15">
        <v>15</v>
      </c>
      <c r="P7" s="15">
        <v>25</v>
      </c>
      <c r="Q7" s="5">
        <v>0</v>
      </c>
      <c r="R7" s="14">
        <f>SUM(M7:Q7)</f>
        <v>49</v>
      </c>
    </row>
    <row r="8" spans="2:18">
      <c r="B8" s="4" t="s">
        <v>8</v>
      </c>
      <c r="C8" s="5">
        <v>7</v>
      </c>
      <c r="D8" s="5">
        <v>0</v>
      </c>
      <c r="E8" s="14">
        <f t="shared" si="0"/>
        <v>7</v>
      </c>
      <c r="G8" s="4" t="s">
        <v>8</v>
      </c>
      <c r="H8" s="5">
        <v>45</v>
      </c>
      <c r="I8" s="5">
        <v>4</v>
      </c>
      <c r="J8" s="14">
        <f>H8-I8</f>
        <v>41</v>
      </c>
      <c r="L8" s="5" t="s">
        <v>9</v>
      </c>
      <c r="M8" s="15">
        <v>8</v>
      </c>
      <c r="N8" s="15">
        <v>11</v>
      </c>
      <c r="O8" s="15">
        <v>13</v>
      </c>
      <c r="P8" s="15">
        <v>11</v>
      </c>
      <c r="Q8" s="5">
        <v>0</v>
      </c>
      <c r="R8" s="14">
        <f>SUM(M8:Q8)</f>
        <v>43</v>
      </c>
    </row>
    <row r="9" spans="2:18">
      <c r="B9" s="12" t="s">
        <v>19</v>
      </c>
      <c r="C9" s="13">
        <v>272</v>
      </c>
      <c r="D9" s="13">
        <f>SUM(D4:D8)</f>
        <v>29</v>
      </c>
      <c r="E9" s="13">
        <f t="shared" si="0"/>
        <v>243</v>
      </c>
      <c r="G9" s="12" t="s">
        <v>19</v>
      </c>
      <c r="H9" s="13">
        <f>SUM(H4:H8)</f>
        <v>272</v>
      </c>
      <c r="I9" s="13">
        <f>SUM(I4:I8)</f>
        <v>29</v>
      </c>
      <c r="J9" s="13">
        <f>SUM(J4:J8)</f>
        <v>243</v>
      </c>
      <c r="L9" s="5" t="s">
        <v>8</v>
      </c>
      <c r="M9" s="5">
        <v>5</v>
      </c>
      <c r="N9" s="5">
        <v>2</v>
      </c>
      <c r="O9" s="5">
        <v>23</v>
      </c>
      <c r="P9" s="5">
        <v>5</v>
      </c>
      <c r="Q9" s="5">
        <v>6</v>
      </c>
      <c r="R9" s="14">
        <f>SUM(M9:Q9)</f>
        <v>41</v>
      </c>
    </row>
    <row r="10" spans="2:18">
      <c r="B10" s="3"/>
      <c r="L10" s="12" t="s">
        <v>19</v>
      </c>
      <c r="M10" s="13">
        <f>SUM(M5:M9)</f>
        <v>36</v>
      </c>
      <c r="N10" s="13">
        <f>SUM(N5:N9)</f>
        <v>25</v>
      </c>
      <c r="O10" s="13">
        <f>SUM(O5:O9)</f>
        <v>126</v>
      </c>
      <c r="P10" s="13">
        <f>SUM(P5:P9)</f>
        <v>49</v>
      </c>
      <c r="Q10" s="13">
        <v>7</v>
      </c>
      <c r="R10" s="14">
        <f>SUM(R5:R9)</f>
        <v>243</v>
      </c>
    </row>
    <row r="11" spans="2:18">
      <c r="B11" s="3"/>
    </row>
    <row r="12" spans="2:18">
      <c r="B12" s="3"/>
    </row>
    <row r="13" spans="2:18">
      <c r="B13" s="3"/>
    </row>
    <row r="14" spans="2:18">
      <c r="B14" s="3"/>
    </row>
    <row r="15" spans="2:18">
      <c r="B15" s="3"/>
    </row>
    <row r="16" spans="2:18">
      <c r="B16" s="3"/>
    </row>
    <row r="17" spans="2:2">
      <c r="B17" s="3"/>
    </row>
    <row r="18" spans="2:2">
      <c r="B18" s="3"/>
    </row>
    <row r="19" spans="2:2">
      <c r="B19" s="3"/>
    </row>
    <row r="20" spans="2:2">
      <c r="B20" s="3"/>
    </row>
    <row r="21" spans="2:2">
      <c r="B21" s="3"/>
    </row>
    <row r="22" spans="2:2">
      <c r="B22" s="3"/>
    </row>
    <row r="23" spans="2:2">
      <c r="B23" s="3"/>
    </row>
    <row r="24" spans="2:2">
      <c r="B24" s="3"/>
    </row>
    <row r="25" spans="2:2">
      <c r="B25" s="3"/>
    </row>
    <row r="26" spans="2:2">
      <c r="B26" s="3"/>
    </row>
    <row r="27" spans="2:2">
      <c r="B27" s="3"/>
    </row>
    <row r="28" spans="2:2">
      <c r="B28" s="3"/>
    </row>
    <row r="29" spans="2:2">
      <c r="B29" s="3"/>
    </row>
    <row r="30" spans="2:2">
      <c r="B30" s="3"/>
    </row>
    <row r="31" spans="2:2">
      <c r="B31" s="3"/>
    </row>
    <row r="32" spans="2:2">
      <c r="B32" s="3"/>
    </row>
    <row r="33" spans="2:2">
      <c r="B33" s="3"/>
    </row>
    <row r="34" spans="2:2">
      <c r="B34" s="3"/>
    </row>
    <row r="35" spans="2:2">
      <c r="B35" s="3"/>
    </row>
    <row r="36" spans="2:2">
      <c r="B36" s="3"/>
    </row>
    <row r="37" spans="2:2">
      <c r="B37" s="3"/>
    </row>
    <row r="38" spans="2:2">
      <c r="B38" s="3"/>
    </row>
    <row r="39" spans="2:2">
      <c r="B39" s="3"/>
    </row>
    <row r="40" spans="2:2">
      <c r="B40" s="3"/>
    </row>
    <row r="41" spans="2:2">
      <c r="B41" s="3"/>
    </row>
    <row r="42" spans="2:2">
      <c r="B42" s="3"/>
    </row>
    <row r="43" spans="2:2">
      <c r="B43" s="3"/>
    </row>
    <row r="44" spans="2:2">
      <c r="B44" s="3"/>
    </row>
    <row r="45" spans="2:2">
      <c r="B45" s="3"/>
    </row>
    <row r="46" spans="2:2">
      <c r="B46" s="3"/>
    </row>
    <row r="47" spans="2:2">
      <c r="B47" s="3"/>
    </row>
    <row r="48" spans="2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  <row r="102" spans="2:2">
      <c r="B102" s="3"/>
    </row>
    <row r="103" spans="2:2">
      <c r="B103" s="3"/>
    </row>
    <row r="104" spans="2:2">
      <c r="B104" s="3"/>
    </row>
    <row r="105" spans="2:2">
      <c r="B105" s="3"/>
    </row>
    <row r="106" spans="2:2">
      <c r="B106" s="3"/>
    </row>
    <row r="107" spans="2:2">
      <c r="B107" s="3"/>
    </row>
    <row r="108" spans="2:2">
      <c r="B108" s="3"/>
    </row>
    <row r="109" spans="2:2">
      <c r="B109" s="3"/>
    </row>
    <row r="110" spans="2:2">
      <c r="B110" s="3"/>
    </row>
    <row r="111" spans="2:2">
      <c r="B111" s="3"/>
    </row>
    <row r="112" spans="2:2">
      <c r="B112" s="3"/>
    </row>
    <row r="113" spans="2:2">
      <c r="B113" s="3"/>
    </row>
    <row r="114" spans="2:2">
      <c r="B114" s="3"/>
    </row>
    <row r="115" spans="2:2">
      <c r="B115" s="3"/>
    </row>
    <row r="116" spans="2:2">
      <c r="B116" s="3"/>
    </row>
    <row r="117" spans="2:2">
      <c r="B117" s="3"/>
    </row>
    <row r="118" spans="2:2">
      <c r="B118" s="3"/>
    </row>
    <row r="119" spans="2:2">
      <c r="B119" s="3"/>
    </row>
    <row r="120" spans="2:2">
      <c r="B120" s="3"/>
    </row>
    <row r="121" spans="2:2">
      <c r="B121" s="3"/>
    </row>
    <row r="122" spans="2:2">
      <c r="B122" s="3"/>
    </row>
    <row r="123" spans="2:2">
      <c r="B123" s="3"/>
    </row>
    <row r="124" spans="2:2">
      <c r="B124" s="3"/>
    </row>
    <row r="125" spans="2:2">
      <c r="B125" s="3"/>
    </row>
    <row r="126" spans="2:2">
      <c r="B126" s="3"/>
    </row>
    <row r="127" spans="2:2">
      <c r="B127" s="3"/>
    </row>
    <row r="128" spans="2:2">
      <c r="B128" s="3"/>
    </row>
    <row r="129" spans="2:2">
      <c r="B129" s="3"/>
    </row>
    <row r="130" spans="2:2">
      <c r="B130" s="3"/>
    </row>
    <row r="131" spans="2:2">
      <c r="B131" s="3"/>
    </row>
    <row r="132" spans="2:2">
      <c r="B132" s="3"/>
    </row>
    <row r="133" spans="2:2">
      <c r="B133" s="3"/>
    </row>
    <row r="134" spans="2:2">
      <c r="B134" s="3"/>
    </row>
    <row r="135" spans="2:2">
      <c r="B135" s="3"/>
    </row>
    <row r="136" spans="2:2">
      <c r="B136" s="3"/>
    </row>
    <row r="137" spans="2:2">
      <c r="B137" s="3"/>
    </row>
    <row r="138" spans="2:2">
      <c r="B138" s="3"/>
    </row>
    <row r="139" spans="2:2">
      <c r="B139" s="3"/>
    </row>
    <row r="140" spans="2:2">
      <c r="B140" s="3"/>
    </row>
    <row r="141" spans="2:2">
      <c r="B141" s="3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</sheetData>
  <sortState xmlns:xlrd2="http://schemas.microsoft.com/office/spreadsheetml/2017/richdata2" ref="G4:J7">
    <sortCondition ref="G4:G7"/>
  </sortState>
  <mergeCells count="9">
    <mergeCell ref="B1:E1"/>
    <mergeCell ref="G1:J1"/>
    <mergeCell ref="L1:R1"/>
    <mergeCell ref="M3:M4"/>
    <mergeCell ref="N3:N4"/>
    <mergeCell ref="O3:O4"/>
    <mergeCell ref="P3:P4"/>
    <mergeCell ref="R3:R4"/>
    <mergeCell ref="Q3:Q4"/>
  </mergeCells>
  <phoneticPr fontId="4" type="noConversion"/>
  <conditionalFormatting sqref="B4">
    <cfRule type="expression" dxfId="31" priority="33">
      <formula>#REF!="Ethical"</formula>
    </cfRule>
    <cfRule type="expression" dxfId="30" priority="34">
      <formula>#REF!="Cognitive"</formula>
    </cfRule>
    <cfRule type="expression" dxfId="29" priority="35">
      <formula>#REF!="Behavioural"</formula>
    </cfRule>
    <cfRule type="expression" dxfId="28" priority="36">
      <formula>#REF!="Affective"</formula>
    </cfRule>
  </conditionalFormatting>
  <conditionalFormatting sqref="B5:B8">
    <cfRule type="expression" dxfId="27" priority="29">
      <formula>$C3="Ethical"</formula>
    </cfRule>
    <cfRule type="expression" dxfId="26" priority="30">
      <formula>$C3="Cognitive"</formula>
    </cfRule>
    <cfRule type="expression" dxfId="25" priority="31">
      <formula>$C3="Behavioural"</formula>
    </cfRule>
    <cfRule type="expression" dxfId="24" priority="32">
      <formula>$C3="Affective"</formula>
    </cfRule>
  </conditionalFormatting>
  <conditionalFormatting sqref="B274:B1000">
    <cfRule type="expression" dxfId="23" priority="25">
      <formula>$C274="Ethical"</formula>
    </cfRule>
    <cfRule type="expression" dxfId="22" priority="26">
      <formula>$C274="Cognitive"</formula>
    </cfRule>
    <cfRule type="expression" dxfId="21" priority="27">
      <formula>$C274="Behavioural"</formula>
    </cfRule>
    <cfRule type="expression" dxfId="20" priority="28">
      <formula>$C274="Affective"</formula>
    </cfRule>
  </conditionalFormatting>
  <conditionalFormatting sqref="G8">
    <cfRule type="expression" dxfId="19" priority="21">
      <formula>$C6="Ethical"</formula>
    </cfRule>
    <cfRule type="expression" dxfId="18" priority="22">
      <formula>$C6="Cognitive"</formula>
    </cfRule>
    <cfRule type="expression" dxfId="17" priority="23">
      <formula>$C6="Behavioural"</formula>
    </cfRule>
    <cfRule type="expression" dxfId="16" priority="24">
      <formula>$C6="Affective"</formula>
    </cfRule>
  </conditionalFormatting>
  <conditionalFormatting sqref="L10">
    <cfRule type="expression" dxfId="15" priority="9">
      <formula>$C7="Ethical"</formula>
    </cfRule>
    <cfRule type="expression" dxfId="14" priority="10">
      <formula>$C7="Cognitive"</formula>
    </cfRule>
    <cfRule type="expression" dxfId="13" priority="11">
      <formula>$C7="Behavioural"</formula>
    </cfRule>
    <cfRule type="expression" dxfId="12" priority="12">
      <formula>$C7="Affective"</formula>
    </cfRule>
  </conditionalFormatting>
  <conditionalFormatting sqref="M3:R3">
    <cfRule type="expression" dxfId="11" priority="13">
      <formula>$C2="Ethical"</formula>
    </cfRule>
    <cfRule type="expression" dxfId="10" priority="14">
      <formula>$C2="Cognitive"</formula>
    </cfRule>
    <cfRule type="expression" dxfId="9" priority="15">
      <formula>$C2="Behavioural"</formula>
    </cfRule>
    <cfRule type="expression" dxfId="8" priority="16">
      <formula>$C2="Affective"</formula>
    </cfRule>
  </conditionalFormatting>
  <conditionalFormatting sqref="G9">
    <cfRule type="expression" dxfId="7" priority="5">
      <formula>$C6="Ethical"</formula>
    </cfRule>
    <cfRule type="expression" dxfId="6" priority="6">
      <formula>$C6="Cognitive"</formula>
    </cfRule>
    <cfRule type="expression" dxfId="5" priority="7">
      <formula>$C6="Behavioural"</formula>
    </cfRule>
    <cfRule type="expression" dxfId="4" priority="8">
      <formula>$C6="Affective"</formula>
    </cfRule>
  </conditionalFormatting>
  <conditionalFormatting sqref="B9">
    <cfRule type="expression" dxfId="3" priority="1">
      <formula>$C6="Ethical"</formula>
    </cfRule>
    <cfRule type="expression" dxfId="2" priority="2">
      <formula>$C6="Cognitive"</formula>
    </cfRule>
    <cfRule type="expression" dxfId="1" priority="3">
      <formula>$C6="Behavioural"</formula>
    </cfRule>
    <cfRule type="expression" dxfId="0" priority="4">
      <formula>$C6="Affective"</formula>
    </cfRule>
  </conditionalFormatting>
  <pageMargins left="0.69999998807907104" right="0.69999998807907104" top="0.75" bottom="0.75" header="0.30000001192092896" footer="0.30000001192092896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S7.Evidence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윤수 박</dc:creator>
  <cp:lastModifiedBy>한진영</cp:lastModifiedBy>
  <cp:revision>6</cp:revision>
  <dcterms:created xsi:type="dcterms:W3CDTF">2026-02-22T03:36:05Z</dcterms:created>
  <dcterms:modified xsi:type="dcterms:W3CDTF">2026-07-31T09:34:13Z</dcterms:modified>
  <cp:version>1000.0100.01</cp:version>
</cp:coreProperties>
</file>